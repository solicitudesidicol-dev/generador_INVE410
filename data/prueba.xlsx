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dico\Documents\custom_excel\data\"/>
    </mc:Choice>
  </mc:AlternateContent>
  <xr:revisionPtr revIDLastSave="0" documentId="13_ncr:1_{7C407AC9-A09A-405A-A322-AC68827C1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 E 410" sheetId="1" r:id="rId1"/>
    <sheet name="Pendientes_Generar" sheetId="5" r:id="rId2"/>
    <sheet name="Data_final" sheetId="3" r:id="rId3"/>
    <sheet name="INV410INF" sheetId="4" r:id="rId4"/>
  </sheets>
  <externalReferences>
    <externalReference r:id="rId5"/>
    <externalReference r:id="rId6"/>
    <externalReference r:id="rId7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[1]L!#REF!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3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3">[2]!Clasificacion</definedName>
    <definedName name="Clasificacion" localSheetId="1">[2]!Clasificacion</definedName>
    <definedName name="Clasificacion">[2]!Clasificacion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4" l="1"/>
  <c r="G104" i="4"/>
  <c r="J102" i="4"/>
  <c r="G99" i="4"/>
  <c r="AA94" i="4"/>
  <c r="V94" i="4"/>
  <c r="Q94" i="4"/>
  <c r="AA89" i="4"/>
  <c r="V89" i="4"/>
  <c r="Q89" i="4"/>
  <c r="AA83" i="4"/>
  <c r="V83" i="4"/>
  <c r="Q83" i="4"/>
  <c r="Q76" i="4"/>
  <c r="Q75" i="4"/>
  <c r="N76" i="4" s="1"/>
  <c r="O73" i="4"/>
  <c r="W73" i="4" s="1"/>
  <c r="F73" i="4"/>
  <c r="G69" i="4"/>
  <c r="N68" i="4"/>
  <c r="G68" i="4"/>
  <c r="AD67" i="4"/>
  <c r="X67" i="4"/>
  <c r="R67" i="4"/>
  <c r="G67" i="4"/>
  <c r="G66" i="4"/>
  <c r="AB65" i="4"/>
  <c r="Q65" i="4"/>
  <c r="AC73" i="4" s="1"/>
  <c r="G65" i="4"/>
  <c r="AB64" i="4"/>
  <c r="Q64" i="4"/>
  <c r="J64" i="4"/>
  <c r="AA43" i="4"/>
  <c r="V43" i="4"/>
  <c r="Q43" i="4"/>
  <c r="AA42" i="4"/>
  <c r="V42" i="4"/>
  <c r="Q42" i="4"/>
  <c r="AA39" i="4"/>
  <c r="V39" i="4"/>
  <c r="Q39" i="4"/>
  <c r="AA38" i="4"/>
  <c r="V38" i="4"/>
  <c r="Q38" i="4"/>
  <c r="AA37" i="4"/>
  <c r="AA82" i="4" s="1"/>
  <c r="AA85" i="4" s="1"/>
  <c r="V37" i="4"/>
  <c r="V82" i="4" s="1"/>
  <c r="V85" i="4" s="1"/>
  <c r="Q37" i="4"/>
  <c r="Q82" i="4" s="1"/>
  <c r="Q85" i="4" s="1"/>
  <c r="AA36" i="4"/>
  <c r="V36" i="4"/>
  <c r="Q36" i="4"/>
  <c r="AA35" i="4"/>
  <c r="V35" i="4"/>
  <c r="Q35" i="4"/>
  <c r="AA34" i="4"/>
  <c r="AA81" i="4" s="1"/>
  <c r="AA84" i="4" s="1"/>
  <c r="AA90" i="4" s="1"/>
  <c r="V34" i="4"/>
  <c r="V81" i="4" s="1"/>
  <c r="V84" i="4" s="1"/>
  <c r="V90" i="4" s="1"/>
  <c r="Q34" i="4"/>
  <c r="Q81" i="4" s="1"/>
  <c r="Q84" i="4" s="1"/>
  <c r="Q90" i="4" s="1"/>
  <c r="AH26" i="4"/>
  <c r="AL14" i="4"/>
  <c r="Q14" i="4"/>
  <c r="Q77" i="4" s="1"/>
  <c r="N13" i="4"/>
  <c r="BY2" i="4"/>
  <c r="BY4" i="4" s="1"/>
  <c r="BW2" i="4"/>
  <c r="BW3" i="4" s="1"/>
  <c r="BV2" i="4"/>
  <c r="BL9" i="1"/>
  <c r="BM9" i="1" s="1"/>
  <c r="BV9" i="1" s="1"/>
  <c r="BK9" i="1" a="1"/>
  <c r="BK9" i="1"/>
  <c r="BJ9" i="1" a="1"/>
  <c r="BJ9" i="1"/>
  <c r="BY9" i="1" s="1"/>
  <c r="BH9" i="1"/>
  <c r="BI9" i="1" s="1"/>
  <c r="BU9" i="1" s="1"/>
  <c r="BG9" i="1" a="1"/>
  <c r="BG9" i="1"/>
  <c r="BF9" i="1" a="1"/>
  <c r="BF9" i="1"/>
  <c r="BX9" i="1" s="1"/>
  <c r="BC9" i="1" a="1"/>
  <c r="BC9" i="1"/>
  <c r="BD9" i="1" s="1"/>
  <c r="BB9" i="1" a="1"/>
  <c r="BB9" i="1" s="1"/>
  <c r="BW9" i="1" s="1"/>
  <c r="AZ9" i="1"/>
  <c r="BW8" i="1"/>
  <c r="BR8" i="1"/>
  <c r="BQ8" i="1"/>
  <c r="BK8" i="1" a="1"/>
  <c r="BK8" i="1"/>
  <c r="BL8" i="1" s="1"/>
  <c r="BM8" i="1" s="1"/>
  <c r="BJ8" i="1" a="1"/>
  <c r="BJ8" i="1"/>
  <c r="BY8" i="1" s="1"/>
  <c r="BG8" i="1" a="1"/>
  <c r="BG8" i="1"/>
  <c r="BH8" i="1" s="1"/>
  <c r="BI8" i="1" s="1"/>
  <c r="BF8" i="1" a="1"/>
  <c r="BF8" i="1"/>
  <c r="BX8" i="1" s="1"/>
  <c r="BC8" i="1" a="1"/>
  <c r="BC8" i="1"/>
  <c r="BD8" i="1" s="1"/>
  <c r="BB8" i="1" a="1"/>
  <c r="BB8" i="1"/>
  <c r="AZ8" i="1"/>
  <c r="BK7" i="1" a="1"/>
  <c r="BK7" i="1"/>
  <c r="BL7" i="1" s="1"/>
  <c r="BM7" i="1" s="1"/>
  <c r="BJ7" i="1" a="1"/>
  <c r="BJ7" i="1"/>
  <c r="BY7" i="1" s="1"/>
  <c r="BG7" i="1" a="1"/>
  <c r="BG7" i="1"/>
  <c r="BH7" i="1" s="1"/>
  <c r="BI7" i="1" s="1"/>
  <c r="BF7" i="1" a="1"/>
  <c r="BF7" i="1"/>
  <c r="BX7" i="1" s="1"/>
  <c r="BC7" i="1" a="1"/>
  <c r="BC7" i="1"/>
  <c r="BD7" i="1" s="1"/>
  <c r="BB7" i="1" a="1"/>
  <c r="BB7" i="1"/>
  <c r="BW7" i="1" s="1"/>
  <c r="AZ7" i="1"/>
  <c r="BK6" i="1" a="1"/>
  <c r="BK6" i="1"/>
  <c r="BL6" i="1" s="1"/>
  <c r="BM6" i="1" s="1"/>
  <c r="BJ6" i="1" a="1"/>
  <c r="BJ6" i="1"/>
  <c r="BY6" i="1" s="1"/>
  <c r="BG6" i="1" a="1"/>
  <c r="BG6" i="1"/>
  <c r="BH6" i="1" s="1"/>
  <c r="BI6" i="1" s="1"/>
  <c r="BF6" i="1" a="1"/>
  <c r="BF6" i="1"/>
  <c r="BX6" i="1" s="1"/>
  <c r="BC6" i="1" a="1"/>
  <c r="BC6" i="1"/>
  <c r="BD6" i="1" s="1"/>
  <c r="BB6" i="1" a="1"/>
  <c r="BB6" i="1"/>
  <c r="BW6" i="1" s="1"/>
  <c r="AZ6" i="1"/>
  <c r="BK5" i="1" a="1"/>
  <c r="BK5" i="1"/>
  <c r="BL5" i="1" s="1"/>
  <c r="BM5" i="1" s="1"/>
  <c r="BJ5" i="1" a="1"/>
  <c r="BJ5" i="1"/>
  <c r="BY5" i="1" s="1"/>
  <c r="BG5" i="1" a="1"/>
  <c r="BG5" i="1"/>
  <c r="BH5" i="1" s="1"/>
  <c r="BI5" i="1" s="1"/>
  <c r="BF5" i="1" a="1"/>
  <c r="BF5" i="1"/>
  <c r="BX5" i="1" s="1"/>
  <c r="BC5" i="1" a="1"/>
  <c r="BC5" i="1"/>
  <c r="BD5" i="1" s="1"/>
  <c r="BB5" i="1" a="1"/>
  <c r="BB5" i="1"/>
  <c r="BW5" i="1" s="1"/>
  <c r="AZ5" i="1"/>
  <c r="BL4" i="1"/>
  <c r="BM4" i="1" s="1"/>
  <c r="BV4" i="1" s="1"/>
  <c r="BK4" i="1" a="1"/>
  <c r="BK4" i="1"/>
  <c r="BJ4" i="1" a="1"/>
  <c r="BJ4" i="1"/>
  <c r="BY4" i="1" s="1"/>
  <c r="BG4" i="1" a="1"/>
  <c r="BG4" i="1"/>
  <c r="BH4" i="1" s="1"/>
  <c r="BI4" i="1" s="1"/>
  <c r="BF4" i="1" a="1"/>
  <c r="BF4" i="1"/>
  <c r="BX4" i="1" s="1"/>
  <c r="BC4" i="1" a="1"/>
  <c r="BC4" i="1"/>
  <c r="BD4" i="1" s="1"/>
  <c r="BB4" i="1" a="1"/>
  <c r="BB4" i="1"/>
  <c r="BW4" i="1" s="1"/>
  <c r="AZ4" i="1"/>
  <c r="BK3" i="1" a="1"/>
  <c r="BK3" i="1"/>
  <c r="BL3" i="1" s="1"/>
  <c r="BM3" i="1" s="1"/>
  <c r="BJ3" i="1" a="1"/>
  <c r="BJ3" i="1"/>
  <c r="BY3" i="1" s="1"/>
  <c r="BG3" i="1" a="1"/>
  <c r="BG3" i="1"/>
  <c r="BH3" i="1" s="1"/>
  <c r="BI3" i="1" s="1"/>
  <c r="BF3" i="1" a="1"/>
  <c r="BF3" i="1"/>
  <c r="BX3" i="1" s="1"/>
  <c r="BC3" i="1" a="1"/>
  <c r="BC3" i="1" s="1"/>
  <c r="AZ3" i="1"/>
  <c r="BK2" i="1" a="1"/>
  <c r="BK2" i="1" s="1"/>
  <c r="BG2" i="1" a="1"/>
  <c r="BG2" i="1" s="1"/>
  <c r="BC2" i="1" a="1"/>
  <c r="BC2" i="1" s="1"/>
  <c r="AZ2" i="1"/>
  <c r="BL2" i="1" l="1"/>
  <c r="BM2" i="1" s="1"/>
  <c r="BJ2" i="1" a="1"/>
  <c r="BJ2" i="1" s="1"/>
  <c r="BY2" i="1" s="1"/>
  <c r="BB2" i="1" a="1"/>
  <c r="BB2" i="1" s="1"/>
  <c r="BW2" i="1" s="1"/>
  <c r="BD2" i="1"/>
  <c r="BW4" i="4"/>
  <c r="D3" i="4" s="1"/>
  <c r="D64" i="4" s="1"/>
  <c r="T107" i="4" s="1"/>
  <c r="BW5" i="4"/>
  <c r="Q91" i="4"/>
  <c r="AA91" i="4"/>
  <c r="V91" i="4"/>
  <c r="V86" i="4"/>
  <c r="Q86" i="4"/>
  <c r="AA86" i="4"/>
  <c r="BE9" i="1"/>
  <c r="BN9" i="1"/>
  <c r="BQ9" i="1"/>
  <c r="BR9" i="1"/>
  <c r="BE8" i="1"/>
  <c r="BN8" i="1"/>
  <c r="BE7" i="1"/>
  <c r="BN7" i="1"/>
  <c r="BR7" i="1"/>
  <c r="BQ7" i="1"/>
  <c r="BE6" i="1"/>
  <c r="BN6" i="1"/>
  <c r="BR6" i="1"/>
  <c r="BQ6" i="1"/>
  <c r="BE5" i="1"/>
  <c r="BN5" i="1"/>
  <c r="BQ5" i="1"/>
  <c r="BR5" i="1"/>
  <c r="BE4" i="1"/>
  <c r="BN4" i="1"/>
  <c r="BR4" i="1"/>
  <c r="BQ4" i="1"/>
  <c r="BD3" i="1"/>
  <c r="BB3" i="1" a="1"/>
  <c r="BB3" i="1" s="1"/>
  <c r="BW3" i="1" s="1"/>
  <c r="BQ3" i="1"/>
  <c r="BR3" i="1"/>
  <c r="BH2" i="1"/>
  <c r="BI2" i="1" s="1"/>
  <c r="BF2" i="1" a="1"/>
  <c r="BF2" i="1" s="1"/>
  <c r="BX2" i="1" s="1"/>
  <c r="BQ2" i="1"/>
  <c r="BR2" i="1"/>
  <c r="BN2" i="1" l="1"/>
  <c r="BE2" i="1"/>
  <c r="BO2" i="1" s="1"/>
  <c r="BT2" i="1" s="1"/>
  <c r="AB96" i="4"/>
  <c r="Q93" i="4"/>
  <c r="AB97" i="4" s="1"/>
  <c r="Q92" i="4"/>
  <c r="AA93" i="4"/>
  <c r="AA92" i="4"/>
  <c r="V93" i="4"/>
  <c r="V92" i="4"/>
  <c r="BO9" i="1"/>
  <c r="BS9" i="1" s="1"/>
  <c r="BT9" i="1"/>
  <c r="BO8" i="1"/>
  <c r="BT8" i="1"/>
  <c r="BO7" i="1"/>
  <c r="BT7" i="1"/>
  <c r="BO6" i="1"/>
  <c r="BT6" i="1" s="1"/>
  <c r="BO5" i="1"/>
  <c r="BT5" i="1" s="1"/>
  <c r="BO4" i="1"/>
  <c r="BT4" i="1" s="1"/>
  <c r="BE3" i="1"/>
  <c r="BN3" i="1"/>
  <c r="BU8" i="1" l="1"/>
  <c r="BV8" i="1"/>
  <c r="BS8" i="1"/>
  <c r="BU7" i="1"/>
  <c r="BV7" i="1"/>
  <c r="BS7" i="1"/>
  <c r="BU6" i="1"/>
  <c r="BV6" i="1"/>
  <c r="BS6" i="1"/>
  <c r="BU5" i="1"/>
  <c r="BV5" i="1"/>
  <c r="BS5" i="1"/>
  <c r="BU4" i="1"/>
  <c r="BS4" i="1"/>
  <c r="BO3" i="1"/>
  <c r="BT3" i="1"/>
  <c r="BU2" i="1"/>
  <c r="BV2" i="1"/>
  <c r="BS2" i="1"/>
  <c r="BU3" i="1" l="1"/>
  <c r="BV3" i="1"/>
  <c r="B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6B978AE3-1D5C-4525-B598-D90C2940374F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770D18A8-D04D-4369-979B-7A3BB9D2C51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7D33591B-E5BA-47A1-97E8-54C407656A5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BF810EC4-56F4-485E-B1F8-9416EA6953F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58B294ED-9B3F-4430-9907-A761EA20039B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CF0E157B-8D12-40FD-B16A-F3A62DEF5912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8DF3CB6B-FEE9-4889-A29F-38E64AF1F73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E6645525-A986-4EFF-83EF-BBA7BB26F882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D69883E3-BBC8-43F9-B0B5-B720409B984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849E3502-4A9C-47EA-8BC3-50C58FCBA31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A325093F-0C2D-49E7-B376-306CF9098953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AD61BEC6-183F-4277-AEFC-DE4B6E946846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E34CCBB7-7753-4CDE-886E-75EB04917238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F3C55CA3-A379-4A63-AAE1-A78853D3921C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17B47EA1-9912-47AC-802B-28807EE89DD3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<sst xmlns="http://schemas.openxmlformats.org/spreadsheetml/2006/main" count="1060" uniqueCount="372">
  <si>
    <t>consecutivo</t>
  </si>
  <si>
    <t>campo23</t>
  </si>
  <si>
    <t>fecharecep</t>
  </si>
  <si>
    <t>refint</t>
  </si>
  <si>
    <t>idext</t>
  </si>
  <si>
    <t>loc</t>
  </si>
  <si>
    <t>Resistencia nominal</t>
  </si>
  <si>
    <t>procedencia</t>
  </si>
  <si>
    <t>date1</t>
  </si>
  <si>
    <t>date2</t>
  </si>
  <si>
    <t>obsensayo</t>
  </si>
  <si>
    <t>dircliente</t>
  </si>
  <si>
    <t>ciudadcliente</t>
  </si>
  <si>
    <t>depcliente</t>
  </si>
  <si>
    <t>paiscliente</t>
  </si>
  <si>
    <t>codobraconf</t>
  </si>
  <si>
    <t>nameobra</t>
  </si>
  <si>
    <t>direccionobra</t>
  </si>
  <si>
    <t>ciudobra</t>
  </si>
  <si>
    <t>deptobra</t>
  </si>
  <si>
    <t>paisobra</t>
  </si>
  <si>
    <t>proyecto</t>
  </si>
  <si>
    <t>state</t>
  </si>
  <si>
    <t>Diámetro 1-1</t>
  </si>
  <si>
    <t>Diámetro 1-2</t>
  </si>
  <si>
    <t>Longitud 1-1</t>
  </si>
  <si>
    <t>Longitud 1-2</t>
  </si>
  <si>
    <t>Longitud 1-3</t>
  </si>
  <si>
    <t>Masa 1</t>
  </si>
  <si>
    <t>Carga 1</t>
  </si>
  <si>
    <t>inv410ag</t>
  </si>
  <si>
    <t>Diámetro 2-1</t>
  </si>
  <si>
    <t>Diámetro 2-2</t>
  </si>
  <si>
    <t>Longitud 2-1</t>
  </si>
  <si>
    <t>Longitud 2-2</t>
  </si>
  <si>
    <t>Longitud 2-3</t>
  </si>
  <si>
    <t>Masa 2</t>
  </si>
  <si>
    <t>Carga 2</t>
  </si>
  <si>
    <t>inv410an</t>
  </si>
  <si>
    <t>Diámetro 3-1</t>
  </si>
  <si>
    <t>Diámetro 3-2</t>
  </si>
  <si>
    <t>Longitud 3-1</t>
  </si>
  <si>
    <t>Longitud 3-2</t>
  </si>
  <si>
    <t>Longitud 3-3</t>
  </si>
  <si>
    <t>Masa 3</t>
  </si>
  <si>
    <t>Carga 3</t>
  </si>
  <si>
    <t>inv410au</t>
  </si>
  <si>
    <t>cliente</t>
  </si>
  <si>
    <t>tipomat</t>
  </si>
  <si>
    <t>equipos</t>
  </si>
  <si>
    <t>Unnamed: 50</t>
  </si>
  <si>
    <t>EDAD</t>
  </si>
  <si>
    <t>Unnamed: 52</t>
  </si>
  <si>
    <t>Densidad M1</t>
  </si>
  <si>
    <t>Diámetro M1</t>
  </si>
  <si>
    <t>Esfuerzo MPa M1</t>
  </si>
  <si>
    <t>Esfuerzo % M1</t>
  </si>
  <si>
    <t>Densidad M2</t>
  </si>
  <si>
    <t>Diámetro M2</t>
  </si>
  <si>
    <t>Esfuerzo MPa M2</t>
  </si>
  <si>
    <t>Esfuerzo % M2</t>
  </si>
  <si>
    <t>Densidad M3</t>
  </si>
  <si>
    <t>Diámetro M3</t>
  </si>
  <si>
    <t>Esfuerzo MPa M3</t>
  </si>
  <si>
    <t>Esfuerzo % M3</t>
  </si>
  <si>
    <t>Esfuerzo MPa Promedio</t>
  </si>
  <si>
    <t>Esfuerzo % Promedio</t>
  </si>
  <si>
    <t>Unnamed: 67</t>
  </si>
  <si>
    <t>Mínimo</t>
  </si>
  <si>
    <t>Máximo</t>
  </si>
  <si>
    <t>Promedio</t>
  </si>
  <si>
    <t>M1</t>
  </si>
  <si>
    <t>M2</t>
  </si>
  <si>
    <t>M3</t>
  </si>
  <si>
    <t>DM1</t>
  </si>
  <si>
    <t>DM2</t>
  </si>
  <si>
    <t>DM3</t>
  </si>
  <si>
    <t>ECD-0072413</t>
  </si>
  <si>
    <t>R-5564-1</t>
  </si>
  <si>
    <t>2026-03-04 00:00:00</t>
  </si>
  <si>
    <t>P0251</t>
  </si>
  <si>
    <t xml:space="preserve">Edificio 109, Carcamo tanque 3, eje 1 y 2 entre B y C, marco de cajas electricas almacen de residuos </t>
  </si>
  <si>
    <t xml:space="preserve">MYA GROUP </t>
  </si>
  <si>
    <t>2026-03-02 00:00:00</t>
  </si>
  <si>
    <t>2026-03-30 00:00:00</t>
  </si>
  <si>
    <t>Cra 9 # 113- 52 P 21 Ed to Unidas 2</t>
  </si>
  <si>
    <t>Bogotá</t>
  </si>
  <si>
    <t>Colombia</t>
  </si>
  <si>
    <t>OB-003434</t>
  </si>
  <si>
    <t xml:space="preserve">EDIFICIO 109- 110 PATIO TALLER METRO </t>
  </si>
  <si>
    <t>Patio Taller Metro</t>
  </si>
  <si>
    <t>No aplica</t>
  </si>
  <si>
    <t>verificacion</t>
  </si>
  <si>
    <t>HORMIGON REFORZADO SAS</t>
  </si>
  <si>
    <t>a</t>
  </si>
  <si>
    <t>EQ-0538 Balanza 15000 g, EQ-0539 Prensa compresión 1000 kN, EQ-0528 Prensa universal, EQ-0592 Pie de rey (300 mm), EQ-0565 Bloque patrón para medición de longitudes (Bloque de 0.118 pulgadas), EQ-0625 Galga 2 mm.</t>
  </si>
  <si>
    <t>ECD-0072592</t>
  </si>
  <si>
    <t>R-5582-1</t>
  </si>
  <si>
    <t>2026-03-09 00:00:00</t>
  </si>
  <si>
    <t>PL 84 -M134</t>
  </si>
  <si>
    <t>NO ESPECIFICA</t>
  </si>
  <si>
    <t>2026-02-27 00:00:00</t>
  </si>
  <si>
    <t>2026-03-27 00:00:00</t>
  </si>
  <si>
    <t>Cr 78 # 7 b-33</t>
  </si>
  <si>
    <t>OB-003095</t>
  </si>
  <si>
    <t>CLÍNICA AVENIDA LAS AMÉRICAS</t>
  </si>
  <si>
    <t>Avenida Américas # 56-52</t>
  </si>
  <si>
    <t>FABILU S.A.S</t>
  </si>
  <si>
    <t>ECD-0072600</t>
  </si>
  <si>
    <t>R-5581-3</t>
  </si>
  <si>
    <t>PL 1 - M136</t>
  </si>
  <si>
    <t>ECD-0072604</t>
  </si>
  <si>
    <t>R-5578-1</t>
  </si>
  <si>
    <t>PN 48/49 -M137</t>
  </si>
  <si>
    <t>ECD-0072608</t>
  </si>
  <si>
    <t>R-5581-1</t>
  </si>
  <si>
    <t>PL 7 - M138</t>
  </si>
  <si>
    <t>ECD-0072612</t>
  </si>
  <si>
    <t>R-5578-3</t>
  </si>
  <si>
    <t>PL 162 - M139</t>
  </si>
  <si>
    <t>2026-02-28 00:00:00</t>
  </si>
  <si>
    <t>2026-03-28 00:00:00</t>
  </si>
  <si>
    <t>ECD-0073363</t>
  </si>
  <si>
    <t>R-5763-1</t>
  </si>
  <si>
    <t>2026-03-23 00:00:00</t>
  </si>
  <si>
    <t xml:space="preserve">Edificio 110, Placa Superior cajas pozos de bombas eyectoras, PTAR, eje A entre ejes 1 y 3. </t>
  </si>
  <si>
    <t>M y A Group</t>
  </si>
  <si>
    <t>2026-03-16 00:00:00</t>
  </si>
  <si>
    <t>ECD-0073562</t>
  </si>
  <si>
    <t>R-5870-2</t>
  </si>
  <si>
    <t>2026-03-25 00:00:00</t>
  </si>
  <si>
    <t>PL 155 - M134B</t>
  </si>
  <si>
    <t>2026-02-26 00:00:00</t>
  </si>
  <si>
    <t>2026-03-26 00:00:00</t>
  </si>
  <si>
    <t>54</t>
  </si>
  <si>
    <t>200.98</t>
  </si>
  <si>
    <t>200.70</t>
  </si>
  <si>
    <t>3500</t>
  </si>
  <si>
    <t>352.4</t>
  </si>
  <si>
    <t>4</t>
  </si>
  <si>
    <t>100.80</t>
  </si>
  <si>
    <t>200.14</t>
  </si>
  <si>
    <t>3472</t>
  </si>
  <si>
    <t>371.0</t>
  </si>
  <si>
    <t>5</t>
  </si>
  <si>
    <t>100.90</t>
  </si>
  <si>
    <t>3592</t>
  </si>
  <si>
    <t>365.9</t>
  </si>
  <si>
    <t>102.54</t>
  </si>
  <si>
    <t>101.32</t>
  </si>
  <si>
    <t>202.46</t>
  </si>
  <si>
    <t>201.74</t>
  </si>
  <si>
    <t>202.58</t>
  </si>
  <si>
    <t>3654</t>
  </si>
  <si>
    <t>301.3</t>
  </si>
  <si>
    <t>101.46</t>
  </si>
  <si>
    <t>102.42</t>
  </si>
  <si>
    <t>201.48</t>
  </si>
  <si>
    <t>202.48</t>
  </si>
  <si>
    <t>201.52</t>
  </si>
  <si>
    <t>3655</t>
  </si>
  <si>
    <t>292.9</t>
  </si>
  <si>
    <t>102.56</t>
  </si>
  <si>
    <t>101.74</t>
  </si>
  <si>
    <t>201.32</t>
  </si>
  <si>
    <t>202.68</t>
  </si>
  <si>
    <t>3676</t>
  </si>
  <si>
    <t>308.5</t>
  </si>
  <si>
    <t>101.56</t>
  </si>
  <si>
    <t>102.48</t>
  </si>
  <si>
    <t>201.76</t>
  </si>
  <si>
    <t>202.54</t>
  </si>
  <si>
    <t>201.62</t>
  </si>
  <si>
    <t>3548</t>
  </si>
  <si>
    <t>368.9</t>
  </si>
  <si>
    <t>2</t>
  </si>
  <si>
    <t>102.76</t>
  </si>
  <si>
    <t>202.42</t>
  </si>
  <si>
    <t>201.68</t>
  </si>
  <si>
    <t>3659</t>
  </si>
  <si>
    <t>345.8</t>
  </si>
  <si>
    <t>101.54</t>
  </si>
  <si>
    <t>102.68</t>
  </si>
  <si>
    <t>202.44</t>
  </si>
  <si>
    <t>201.78</t>
  </si>
  <si>
    <t>3578</t>
  </si>
  <si>
    <t>3567</t>
  </si>
  <si>
    <t>380.5</t>
  </si>
  <si>
    <t>202.32</t>
  </si>
  <si>
    <t>347.9</t>
  </si>
  <si>
    <t>102.74</t>
  </si>
  <si>
    <t>201.56</t>
  </si>
  <si>
    <t>3675</t>
  </si>
  <si>
    <t>398.0</t>
  </si>
  <si>
    <t>201.66</t>
  </si>
  <si>
    <t>3465</t>
  </si>
  <si>
    <t>326.8</t>
  </si>
  <si>
    <t>102.64</t>
  </si>
  <si>
    <t>201.44</t>
  </si>
  <si>
    <t>3564</t>
  </si>
  <si>
    <t>356.4</t>
  </si>
  <si>
    <t>101.42</t>
  </si>
  <si>
    <t>102.36</t>
  </si>
  <si>
    <t>202.66</t>
  </si>
  <si>
    <t>3653</t>
  </si>
  <si>
    <t>321.9</t>
  </si>
  <si>
    <t>100.76</t>
  </si>
  <si>
    <t>200.54</t>
  </si>
  <si>
    <t>200.10</t>
  </si>
  <si>
    <t>186.8</t>
  </si>
  <si>
    <t>100.98</t>
  </si>
  <si>
    <t>100.60</t>
  </si>
  <si>
    <t>200.68</t>
  </si>
  <si>
    <t>200.92</t>
  </si>
  <si>
    <t>3478</t>
  </si>
  <si>
    <t>183.9</t>
  </si>
  <si>
    <t>200.60</t>
  </si>
  <si>
    <t>174.8</t>
  </si>
  <si>
    <t>62</t>
  </si>
  <si>
    <t>102.72</t>
  </si>
  <si>
    <t>201.36</t>
  </si>
  <si>
    <t>101.36</t>
  </si>
  <si>
    <t>202.36</t>
  </si>
  <si>
    <t>216.9</t>
  </si>
  <si>
    <t>101.66</t>
  </si>
  <si>
    <t>201.34</t>
  </si>
  <si>
    <t>202.62</t>
  </si>
  <si>
    <t>201.46</t>
  </si>
  <si>
    <t>220.7</t>
  </si>
  <si>
    <t>102.46</t>
  </si>
  <si>
    <t>101.38</t>
  </si>
  <si>
    <t>202.76</t>
  </si>
  <si>
    <t>202.56</t>
  </si>
  <si>
    <t>3547</t>
  </si>
  <si>
    <t>333.8</t>
  </si>
  <si>
    <t>INGRESO DE DATOS DE ENSAYO</t>
  </si>
  <si>
    <t>EJEMPLO DE DILIGENCIAMIENTO DEL ENCABEZADO</t>
  </si>
  <si>
    <t>ECD-0074045</t>
  </si>
  <si>
    <t>73365</t>
  </si>
  <si>
    <t>ID Informe:</t>
  </si>
  <si>
    <t>-</t>
  </si>
  <si>
    <t>Orden de ingreso:</t>
  </si>
  <si>
    <t>R-5888-3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</si>
  <si>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</si>
  <si>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</si>
  <si>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</si>
  <si>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</si>
  <si>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</si>
  <si>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</si>
  <si>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</si>
  <si>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</si>
  <si>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</si>
  <si>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</si>
  <si>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</si>
  <si>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</si>
  <si>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CONSORCIO METRO XM</t>
  </si>
  <si>
    <t>ESTRUCTURAS SOSTENIBLES SAS</t>
  </si>
  <si>
    <t>Dirección:</t>
  </si>
  <si>
    <t>Cr 14 # 75-77 Of 409</t>
  </si>
  <si>
    <t>Ciudad</t>
  </si>
  <si>
    <t>Departamento</t>
  </si>
  <si>
    <t>País</t>
  </si>
  <si>
    <t>CALLE 53 B # 45 - 16 SUR</t>
  </si>
  <si>
    <t>BTA</t>
  </si>
  <si>
    <t>C/MARCA</t>
  </si>
  <si>
    <t>COL</t>
  </si>
  <si>
    <t>ID Obra:</t>
  </si>
  <si>
    <t>OB-003418</t>
  </si>
  <si>
    <t>Obra</t>
  </si>
  <si>
    <t>ESTACIÓN 8 ML</t>
  </si>
  <si>
    <t>LOS PINOS</t>
  </si>
  <si>
    <t>Procedencia:</t>
  </si>
  <si>
    <t xml:space="preserve">Cemex </t>
  </si>
  <si>
    <t>CEMEX / NO SE ESPECIFICA</t>
  </si>
  <si>
    <t>Fecha de toma</t>
  </si>
  <si>
    <t>Resistencia nominal (Mpa)</t>
  </si>
  <si>
    <t>ID Muestra</t>
  </si>
  <si>
    <t>#</t>
  </si>
  <si>
    <t>E8-234</t>
  </si>
  <si>
    <t>Localización</t>
  </si>
  <si>
    <t>PLACA NIVEL INFERIOR DE PLATAFORMA +13.82 EJE 3´-5´ - ENTRE EJES A-E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</si>
  <si>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</si>
  <si>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</si>
  <si>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</si>
  <si>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</si>
  <si>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</si>
  <si>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</si>
  <si>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</si>
  <si>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</si>
  <si>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</si>
  <si>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</si>
  <si>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</si>
  <si>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</si>
  <si>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</si>
  <si>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</si>
  <si>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</si>
  <si>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</si>
  <si>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</si>
  <si>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</si>
  <si>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</si>
  <si>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</si>
  <si>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</si>
  <si>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</si>
  <si>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</si>
  <si>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</si>
  <si>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</si>
  <si>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</si>
  <si>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</si>
  <si>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</si>
  <si>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</si>
  <si>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</si>
  <si>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</si>
  <si>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</si>
  <si>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</si>
  <si>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</si>
  <si>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</si>
  <si>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</si>
  <si>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</si>
  <si>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</si>
  <si>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</si>
  <si>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</si>
  <si>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</si>
  <si>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</si>
  <si>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</si>
  <si>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</si>
  <si>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</si>
  <si>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</si>
  <si>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</si>
  <si>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</si>
  <si>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</si>
  <si>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</si>
  <si>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</si>
  <si>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</si>
  <si>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</si>
  <si>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</si>
  <si>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</si>
  <si>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</si>
  <si>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</si>
  <si>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</si>
  <si>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</si>
  <si>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</si>
  <si>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</si>
  <si>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t>Densidad</t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</si>
  <si>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</si>
  <si>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</si>
  <si>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</si>
  <si>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</si>
  <si>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</si>
  <si>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</si>
  <si>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</si>
  <si>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</si>
  <si>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</si>
  <si>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</si>
  <si>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</si>
  <si>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</si>
  <si>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</si>
  <si>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</si>
  <si>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</si>
  <si>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</si>
  <si>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</si>
  <si>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r>
      <t>mm</t>
    </r>
    <r>
      <rPr>
        <sz val="8"/>
        <color theme="1"/>
        <rFont val="Calibri"/>
        <family val="2"/>
      </rPr>
      <t>²</t>
    </r>
  </si>
  <si>
    <r>
      <t>Kg/m</t>
    </r>
    <r>
      <rPr>
        <sz val="8"/>
        <color theme="1"/>
        <rFont val="Calibri"/>
        <family val="2"/>
      </rPr>
      <t>³</t>
    </r>
  </si>
  <si>
    <t>Cantidad</t>
  </si>
  <si>
    <t>ECD-0082444</t>
  </si>
  <si>
    <t>ECD-0082445</t>
  </si>
  <si>
    <t>ECD-0082446</t>
  </si>
  <si>
    <t>ECD-0082447</t>
  </si>
  <si>
    <t>ECD-0082448</t>
  </si>
  <si>
    <t>ECD-0082449</t>
  </si>
  <si>
    <t>ECD-0082450</t>
  </si>
  <si>
    <t>ECD-0082451</t>
  </si>
  <si>
    <t>Diametro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</si>
</sst>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/mm/dd;@"/>
    <numFmt numFmtId="166" formatCode="yyyy\-mm\-dd;@"/>
    <numFmt numFmtId="167" formatCode="0.00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sz val="8"/>
      <color theme="1"/>
      <name val="Calibri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 applyAlignment="1" applyProtection="1">
      <alignment textRotation="90"/>
      <protection locked="0"/>
    </xf>
    <xf numFmtId="0" fontId="1" fillId="0" borderId="0" xfId="0" applyFont="1" applyProtection="1">
      <protection locked="0"/>
    </xf>
    <xf numFmtId="0" fontId="1" fillId="0" borderId="0" xfId="0" applyFont="1"/>
    <xf numFmtId="0" fontId="1" fillId="0" borderId="0" xfId="0" applyFont="1" applyAlignment="1">
      <alignment textRotation="90"/>
    </xf>
    <xf numFmtId="0" fontId="1" fillId="2" borderId="1" xfId="0" applyFont="1" applyFill="1" applyBorder="1" applyAlignment="1">
      <alignment textRotation="90"/>
    </xf>
    <xf numFmtId="0" fontId="1" fillId="0" borderId="1" xfId="0" applyFont="1" applyBorder="1" applyAlignment="1">
      <alignment textRotation="90"/>
    </xf>
    <xf numFmtId="0" fontId="0" fillId="3" borderId="2" xfId="0" applyFill="1" applyBorder="1"/>
    <xf numFmtId="0" fontId="0" fillId="3" borderId="3" xfId="0" applyFill="1" applyBorder="1"/>
    <xf numFmtId="14" fontId="0" fillId="3" borderId="3" xfId="0" applyNumberFormat="1" applyFill="1" applyBorder="1"/>
    <xf numFmtId="0" fontId="0" fillId="3" borderId="4" xfId="0" applyFill="1" applyBorder="1"/>
    <xf numFmtId="0" fontId="0" fillId="2" borderId="0" xfId="0" applyFill="1"/>
    <xf numFmtId="1" fontId="0" fillId="2" borderId="0" xfId="0" applyNumberFormat="1" applyFill="1"/>
    <xf numFmtId="1" fontId="0" fillId="2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4" fillId="0" borderId="0" xfId="0" applyFont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2" fontId="4" fillId="0" borderId="1" xfId="0" applyNumberFormat="1" applyFont="1" applyBorder="1" applyAlignment="1" applyProtection="1">
      <alignment vertical="center"/>
      <protection locked="0"/>
    </xf>
    <xf numFmtId="0" fontId="5" fillId="5" borderId="6" xfId="0" applyFont="1" applyFill="1" applyBorder="1" applyAlignment="1" applyProtection="1">
      <alignment horizontal="center" vertical="center"/>
      <protection locked="0"/>
    </xf>
    <xf numFmtId="0" fontId="5" fillId="6" borderId="7" xfId="0" applyFont="1" applyFill="1" applyBorder="1" applyAlignment="1" applyProtection="1">
      <alignment horizontal="center" vertical="center"/>
      <protection locked="0"/>
    </xf>
    <xf numFmtId="0" fontId="5" fillId="7" borderId="7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7" fontId="6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2" fontId="4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/>
    </xf>
    <xf numFmtId="0" fontId="4" fillId="0" borderId="0" xfId="0" applyFont="1" applyAlignment="1">
      <alignment vertical="center" wrapText="1"/>
    </xf>
    <xf numFmtId="0" fontId="2" fillId="2" borderId="0" xfId="0" applyFont="1" applyFill="1"/>
    <xf numFmtId="0" fontId="12" fillId="0" borderId="0" xfId="0" applyFont="1"/>
    <xf numFmtId="0" fontId="12" fillId="2" borderId="0" xfId="0" applyFont="1" applyFill="1"/>
    <xf numFmtId="0" fontId="5" fillId="0" borderId="0" xfId="0" applyFont="1"/>
    <xf numFmtId="0" fontId="13" fillId="0" borderId="0" xfId="0" applyFont="1"/>
    <xf numFmtId="0" fontId="16" fillId="0" borderId="0" xfId="0" applyFont="1" applyAlignment="1">
      <alignment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5" fillId="5" borderId="6" xfId="0" applyFont="1" applyFill="1" applyBorder="1" applyAlignment="1" applyProtection="1">
      <alignment horizontal="center" vertical="center"/>
      <protection locked="0"/>
    </xf>
    <xf numFmtId="0" fontId="5" fillId="6" borderId="5" xfId="0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6" borderId="7" xfId="0" applyFont="1" applyFill="1" applyBorder="1" applyAlignment="1" applyProtection="1">
      <alignment horizontal="center" vertical="center"/>
      <protection locked="0"/>
    </xf>
    <xf numFmtId="49" fontId="5" fillId="6" borderId="1" xfId="0" applyNumberFormat="1" applyFont="1" applyFill="1" applyBorder="1" applyAlignment="1" applyProtection="1">
      <alignment horizontal="center" vertical="center"/>
      <protection locked="0"/>
    </xf>
    <xf numFmtId="0" fontId="5" fillId="7" borderId="5" xfId="0" applyFont="1" applyFill="1" applyBorder="1" applyAlignment="1" applyProtection="1">
      <alignment horizontal="center" vertical="center"/>
      <protection locked="0"/>
    </xf>
    <xf numFmtId="0" fontId="5" fillId="7" borderId="6" xfId="0" applyFont="1" applyFill="1" applyBorder="1" applyAlignment="1" applyProtection="1">
      <alignment horizontal="center" vertical="center"/>
      <protection locked="0"/>
    </xf>
    <xf numFmtId="0" fontId="5" fillId="7" borderId="7" xfId="0" applyFont="1" applyFill="1" applyBorder="1" applyAlignment="1" applyProtection="1">
      <alignment horizontal="center" vertical="center"/>
      <protection locked="0"/>
    </xf>
    <xf numFmtId="49" fontId="5" fillId="7" borderId="1" xfId="0" applyNumberFormat="1" applyFont="1" applyFill="1" applyBorder="1" applyAlignment="1" applyProtection="1">
      <alignment horizontal="center" vertical="center"/>
      <protection locked="0"/>
    </xf>
    <xf numFmtId="0" fontId="5" fillId="5" borderId="8" xfId="0" applyFont="1" applyFill="1" applyBorder="1" applyAlignment="1" applyProtection="1">
      <alignment vertical="center"/>
      <protection locked="0"/>
    </xf>
    <xf numFmtId="0" fontId="5" fillId="6" borderId="8" xfId="0" applyFont="1" applyFill="1" applyBorder="1" applyAlignment="1" applyProtection="1">
      <alignment horizontal="center" vertical="center" shrinkToFit="1"/>
      <protection locked="0"/>
    </xf>
    <xf numFmtId="0" fontId="5" fillId="7" borderId="8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vertical="center"/>
      <protection locked="0"/>
    </xf>
    <xf numFmtId="0" fontId="5" fillId="6" borderId="1" xfId="0" applyFont="1" applyFill="1" applyBorder="1" applyAlignment="1" applyProtection="1">
      <alignment horizontal="center" vertical="center" shrinkToFit="1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165" fontId="5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8" xfId="0" applyNumberFormat="1" applyFont="1" applyBorder="1" applyAlignment="1" applyProtection="1">
      <alignment horizontal="center" vertical="center"/>
      <protection locked="0"/>
    </xf>
    <xf numFmtId="166" fontId="5" fillId="6" borderId="8" xfId="0" applyNumberFormat="1" applyFont="1" applyFill="1" applyBorder="1" applyAlignment="1" applyProtection="1">
      <alignment horizontal="center" vertical="center"/>
      <protection locked="0"/>
    </xf>
    <xf numFmtId="49" fontId="5" fillId="6" borderId="8" xfId="0" applyNumberFormat="1" applyFont="1" applyFill="1" applyBorder="1" applyAlignment="1" applyProtection="1">
      <alignment horizontal="center" vertical="center"/>
      <protection locked="0"/>
    </xf>
    <xf numFmtId="166" fontId="5" fillId="6" borderId="1" xfId="0" applyNumberFormat="1" applyFont="1" applyFill="1" applyBorder="1" applyAlignment="1" applyProtection="1">
      <alignment horizontal="center" vertical="center"/>
      <protection locked="0"/>
    </xf>
    <xf numFmtId="165" fontId="5" fillId="6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49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64" fontId="5" fillId="6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1" fontId="5" fillId="6" borderId="1" xfId="0" applyNumberFormat="1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 applyProtection="1">
      <alignment horizontal="center" vertical="center"/>
      <protection locked="0"/>
    </xf>
    <xf numFmtId="0" fontId="4" fillId="8" borderId="1" xfId="0" applyFont="1" applyFill="1" applyBorder="1" applyAlignment="1" applyProtection="1">
      <alignment horizontal="center" vertical="center"/>
      <protection locked="0"/>
    </xf>
    <xf numFmtId="0" fontId="8" fillId="9" borderId="11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 vertical="center"/>
      <protection locked="0"/>
    </xf>
    <xf numFmtId="0" fontId="8" fillId="9" borderId="20" xfId="0" applyFont="1" applyFill="1" applyBorder="1" applyAlignment="1" applyProtection="1">
      <alignment horizontal="center" vertical="center"/>
      <protection locked="0"/>
    </xf>
    <xf numFmtId="2" fontId="5" fillId="6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 applyAlignment="1" applyProtection="1">
      <alignment horizontal="left" vertical="top"/>
      <protection locked="0"/>
    </xf>
    <xf numFmtId="0" fontId="9" fillId="6" borderId="15" xfId="0" applyFont="1" applyFill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6" borderId="17" xfId="0" applyFont="1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" fontId="5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164" fontId="5" fillId="0" borderId="8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7" xfId="0" applyFont="1" applyBorder="1" applyAlignment="1">
      <alignment horizontal="left" wrapText="1"/>
    </xf>
    <xf numFmtId="0" fontId="8" fillId="0" borderId="0" xfId="0" applyFont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2D-4235-8EB7-7718E80D5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A663F1B6-57F0-41A0-AC51-F2EEF32C95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EF7E53-9149-4AB6-9746-F6935C06F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CA13AE-93DF-4385-B2C1-760C804EE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52D981B-C3AE-4C6A-9483-C9CD1E83B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Z9"/>
  <sheetViews>
    <sheetView tabSelected="1" zoomScaleNormal="100" workbookViewId="0">
      <selection activeCell="AC3" sqref="AC3"/>
    </sheetView>
  </sheetViews>
  <sheetFormatPr baseColWidth="10" defaultColWidth="9.109375" defaultRowHeight="14.4"/>
  <cols>
    <col min="1" max="1" width="12.33203125" customWidth="1"/>
    <col min="2" max="2" width="9.109375" customWidth="1"/>
    <col min="3" max="3" width="10.88671875" hidden="1" customWidth="1"/>
    <col min="4" max="4" width="13" hidden="1" customWidth="1"/>
    <col min="5" max="5" width="9.109375" hidden="1" customWidth="1"/>
    <col min="6" max="6" width="13" hidden="1" customWidth="1"/>
    <col min="7" max="7" width="3.88671875" bestFit="1" customWidth="1"/>
    <col min="8" max="8" width="13" hidden="1" customWidth="1"/>
    <col min="9" max="10" width="10.6640625" hidden="1" customWidth="1"/>
    <col min="11" max="11" width="10.44140625" hidden="1" customWidth="1"/>
    <col min="12" max="23" width="13" hidden="1" customWidth="1"/>
    <col min="24" max="25" width="6.5546875" bestFit="1" customWidth="1"/>
    <col min="26" max="28" width="4" bestFit="1" customWidth="1"/>
    <col min="29" max="29" width="6" bestFit="1" customWidth="1"/>
    <col min="30" max="30" width="5.6640625" bestFit="1" customWidth="1"/>
    <col min="31" max="31" width="9.109375" hidden="1" customWidth="1"/>
    <col min="32" max="33" width="6.5546875" customWidth="1"/>
    <col min="34" max="35" width="4" customWidth="1"/>
    <col min="36" max="36" width="4.33203125" customWidth="1"/>
    <col min="37" max="37" width="6" customWidth="1"/>
    <col min="38" max="38" width="5.5546875" bestFit="1" customWidth="1"/>
    <col min="39" max="39" width="9.109375" hidden="1" customWidth="1"/>
    <col min="40" max="41" width="6.5546875" customWidth="1"/>
    <col min="42" max="44" width="4" customWidth="1"/>
    <col min="45" max="45" width="6" customWidth="1"/>
    <col min="46" max="46" width="5.5546875" bestFit="1" customWidth="1"/>
    <col min="47" max="50" width="9.109375" hidden="1" customWidth="1"/>
    <col min="51" max="51" width="1.6640625" customWidth="1"/>
    <col min="52" max="52" width="6" bestFit="1" customWidth="1"/>
    <col min="53" max="53" width="1.6640625" customWidth="1"/>
    <col min="54" max="54" width="9.88671875" customWidth="1"/>
    <col min="55" max="55" width="9" customWidth="1"/>
    <col min="56" max="56" width="4.5546875" customWidth="1"/>
    <col min="57" max="57" width="5.5546875" customWidth="1"/>
    <col min="58" max="58" width="5" customWidth="1"/>
    <col min="59" max="59" width="8" customWidth="1"/>
    <col min="60" max="60" width="4.5546875" customWidth="1"/>
    <col min="61" max="61" width="5.5546875" customWidth="1"/>
    <col min="62" max="62" width="7" bestFit="1" customWidth="1"/>
    <col min="63" max="63" width="7" customWidth="1"/>
    <col min="64" max="64" width="4.5546875" customWidth="1"/>
    <col min="65" max="65" width="5.5546875" customWidth="1"/>
    <col min="66" max="66" width="4.6640625" bestFit="1" customWidth="1"/>
    <col min="67" max="67" width="8.44140625" bestFit="1" customWidth="1"/>
    <col min="69" max="77" width="9.109375" hidden="1" customWidth="1"/>
    <col min="78" max="78" width="13" hidden="1" customWidth="1"/>
  </cols>
  <sheetData>
    <row r="1" spans="1:77" s="3" customFormat="1" ht="115.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Z1" s="4" t="s">
        <v>51</v>
      </c>
      <c r="BB1" s="5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</row>
    <row r="2" spans="1:77">
      <c r="A2" s="7" t="s">
        <v>77</v>
      </c>
      <c r="B2" s="8" t="s">
        <v>78</v>
      </c>
      <c r="C2" s="9">
        <v>46085</v>
      </c>
      <c r="D2" s="8" t="s">
        <v>80</v>
      </c>
      <c r="E2" s="8" t="s">
        <v>134</v>
      </c>
      <c r="F2" s="8" t="s">
        <v>81</v>
      </c>
      <c r="G2" s="8">
        <v>28</v>
      </c>
      <c r="H2" s="8" t="s">
        <v>82</v>
      </c>
      <c r="I2" s="9">
        <v>46083</v>
      </c>
      <c r="J2" s="9">
        <v>46111</v>
      </c>
      <c r="K2" s="8"/>
      <c r="L2" s="8" t="s">
        <v>85</v>
      </c>
      <c r="M2" s="8" t="s">
        <v>86</v>
      </c>
      <c r="N2" s="8" t="s">
        <v>86</v>
      </c>
      <c r="O2" s="8" t="s">
        <v>87</v>
      </c>
      <c r="P2" s="8" t="s">
        <v>88</v>
      </c>
      <c r="Q2" s="8" t="s">
        <v>89</v>
      </c>
      <c r="R2" s="8" t="s">
        <v>90</v>
      </c>
      <c r="S2" s="8" t="s">
        <v>86</v>
      </c>
      <c r="T2" s="8" t="s">
        <v>86</v>
      </c>
      <c r="U2" s="8" t="s">
        <v>87</v>
      </c>
      <c r="V2" s="8" t="s">
        <v>91</v>
      </c>
      <c r="W2" s="8" t="s">
        <v>92</v>
      </c>
      <c r="X2" s="8">
        <v>150.1</v>
      </c>
      <c r="Y2" s="8">
        <v>150.24</v>
      </c>
      <c r="Z2" s="8">
        <v>300.98</v>
      </c>
      <c r="AA2" s="8">
        <v>300.16000000000003</v>
      </c>
      <c r="AB2" s="8">
        <v>300.7</v>
      </c>
      <c r="AC2" s="8" t="s">
        <v>137</v>
      </c>
      <c r="AD2" s="8" t="s">
        <v>138</v>
      </c>
      <c r="AE2" s="8" t="s">
        <v>139</v>
      </c>
      <c r="AF2" s="8">
        <v>150.18</v>
      </c>
      <c r="AG2" s="8">
        <v>150.80000000000001</v>
      </c>
      <c r="AH2" s="8">
        <v>300.33999999999997</v>
      </c>
      <c r="AI2" s="8">
        <v>300.76</v>
      </c>
      <c r="AJ2" s="8">
        <v>300.14</v>
      </c>
      <c r="AK2" s="8" t="s">
        <v>142</v>
      </c>
      <c r="AL2" s="8" t="s">
        <v>143</v>
      </c>
      <c r="AM2" s="8" t="s">
        <v>144</v>
      </c>
      <c r="AN2" s="8">
        <v>150.1</v>
      </c>
      <c r="AO2" s="8">
        <v>150.9</v>
      </c>
      <c r="AP2" s="8">
        <v>300.36</v>
      </c>
      <c r="AQ2" s="8">
        <v>300.18</v>
      </c>
      <c r="AR2" s="8">
        <v>300.94</v>
      </c>
      <c r="AS2" s="8" t="s">
        <v>146</v>
      </c>
      <c r="AT2" s="8" t="s">
        <v>147</v>
      </c>
      <c r="AU2" s="8" t="s">
        <v>144</v>
      </c>
      <c r="AV2" s="8" t="s">
        <v>93</v>
      </c>
      <c r="AW2" s="8" t="s">
        <v>94</v>
      </c>
      <c r="AX2" s="10" t="s">
        <v>95</v>
      </c>
      <c r="AY2" s="11"/>
      <c r="AZ2" s="12">
        <f t="shared" ref="AZ2:AZ9" si="0">IF(J2=0,"-",J2-I2)</f>
        <v>28</v>
      </c>
      <c r="BA2" s="11"/>
      <c r="BB2" s="13">
        <f t="array" ref="BB2">IF(AC2=0,"-",(AC2/(((PI()*BC2*BC2)/4)*AVERAGE(_xlfn.NUMBERVALUE(Z2:AB2))))*1000000)</f>
        <v>657.36043624842625</v>
      </c>
      <c r="BC2" s="14">
        <f t="array" ref="BC2">IF(X2=0,"-",AVERAGE(_xlfn.NUMBERVALUE(X2:Y2)))</f>
        <v>150.17000000000002</v>
      </c>
      <c r="BD2" s="15">
        <f t="shared" ref="BD2:BD9" si="1">IF(AD2=0,"-",_xlfn.NUMBERVALUE(AD2)*1000/((PI()*BC2*BC2)/4))</f>
        <v>19.8966360938268</v>
      </c>
      <c r="BE2" s="15">
        <f t="shared" ref="BE2:BE9" si="2">IF(BD2="-","-",(BD2/G2)*100)</f>
        <v>71.059414620810003</v>
      </c>
      <c r="BF2" s="13">
        <f t="array" ref="BF2">IF(AK2=0,"-",(AK2/(((PI()*BG2*BG2)/4)*AVERAGE(_xlfn.NUMBERVALUE(AH2:AJ2))))*1000000)</f>
        <v>649.76355244950378</v>
      </c>
      <c r="BG2" s="14">
        <f t="array" ref="BG2">IF(AF2=0,"-",AVERAGE(_xlfn.NUMBERVALUE(AF2:AG2)))</f>
        <v>150.49</v>
      </c>
      <c r="BH2" s="15">
        <f t="shared" ref="BH2:BH9" si="3">IF(AL2=0,"-",_xlfn.NUMBERVALUE(AL2)*1000/((PI()*BG2*BG2)/4))</f>
        <v>20.857811769158811</v>
      </c>
      <c r="BI2" s="15">
        <f t="shared" ref="BI2:BI9" si="4">IF(BH2="-","-",(BH2/G2)*100)</f>
        <v>74.492184889852894</v>
      </c>
      <c r="BJ2" s="13">
        <f t="array" ref="BJ2">IF(AS2=0,"-",(AS2/(((PI()*BK2*BK2)/4)*AVERAGE(_xlfn.NUMBERVALUE(AP2:AR2))))*1000000)</f>
        <v>671.95254857918906</v>
      </c>
      <c r="BK2" s="14">
        <f t="array" ref="BK2">IF(AN2=0,"-",AVERAGE(_xlfn.NUMBERVALUE(AN2:AO2)))</f>
        <v>150.5</v>
      </c>
      <c r="BL2" s="15">
        <f t="shared" ref="BL2:BL9" si="5">IF(AT2=0,"-",_xlfn.NUMBERVALUE(AT2)*1000/((PI()*BK2*BK2)/4))</f>
        <v>20.568353524512801</v>
      </c>
      <c r="BM2" s="15">
        <f t="shared" ref="BM2:BM9" si="6">IF(BL2="-","-",(BL2/G2)*100)</f>
        <v>73.45840544468858</v>
      </c>
      <c r="BN2" s="15">
        <f t="shared" ref="BN2:BO9" si="7">IF(BD2="-","-",AVERAGE(BD2,BH2,BL2))</f>
        <v>20.440933795832805</v>
      </c>
      <c r="BO2" s="15">
        <f t="shared" si="7"/>
        <v>73.003334985117149</v>
      </c>
      <c r="BQ2">
        <f t="shared" ref="BQ2:BQ9" si="8">+IF(AZ2&gt;=21,100,IF(AND(AZ2&gt;=14,AZ2&lt;21),75,IF(AND(AZ2&gt;=7,AZ2&lt;14),50,IF(AZ2&lt;7,30,"-"))))</f>
        <v>100</v>
      </c>
      <c r="BR2">
        <f t="shared" ref="BR2:BR9" si="9">+IF(AZ2&gt;=21,130,IF(AND(AZ2&gt;=14,AZ2&lt;21),100,IF(AND(AZ2&gt;=7,AZ2&lt;14),90,IF(AZ2&lt;7,60,"-"))))</f>
        <v>130</v>
      </c>
      <c r="BS2">
        <f t="shared" ref="BS2:BS9" si="10">IF(BO2="-","-",IF(OR(BO2&lt;BQ2,BO2&gt;BR2),1,0))</f>
        <v>1</v>
      </c>
      <c r="BT2">
        <f t="shared" ref="BT2:BT9" si="11">IF(BE2="-","-",IF(OR(BE2&lt;BO2-5,BE2&gt;BO2+5),1,0))</f>
        <v>0</v>
      </c>
      <c r="BU2">
        <f t="shared" ref="BU2:BU9" si="12">IF(BI2="-","-",IF(OR(BI2&lt;BO2-5,BI2&gt;BO2+5),1,0))</f>
        <v>0</v>
      </c>
      <c r="BV2">
        <f t="shared" ref="BV2:BV9" si="13">IF(BM2="-","-",IF(OR(BM2&lt;BO2-5,BM2&gt;BO2+5),1,0))</f>
        <v>0</v>
      </c>
      <c r="BW2">
        <f t="shared" ref="BW2:BW9" si="14">IF(BB2="-","-",IF(OR(BB2&lt;1900,BB2&gt;2400),1,0))</f>
        <v>1</v>
      </c>
      <c r="BX2">
        <f t="shared" ref="BX2:BX9" si="15">IF(BF2="-","-",IF(OR(BF2&lt;1900,BF2&gt;2400),1,0))</f>
        <v>1</v>
      </c>
      <c r="BY2">
        <f t="shared" ref="BY2:BY9" si="16">IF(BJ2="-","-",IF(OR(BJ2&lt;1900,BJ2&gt;2400),1,0))</f>
        <v>1</v>
      </c>
    </row>
    <row r="3" spans="1:77" ht="14.25" customHeight="1">
      <c r="A3" s="16" t="s">
        <v>96</v>
      </c>
      <c r="B3" s="17" t="s">
        <v>97</v>
      </c>
      <c r="C3" s="18">
        <v>46090</v>
      </c>
      <c r="D3" s="17" t="s">
        <v>80</v>
      </c>
      <c r="E3" s="17" t="s">
        <v>99</v>
      </c>
      <c r="F3" s="17" t="s">
        <v>100</v>
      </c>
      <c r="G3" s="17">
        <v>27.58</v>
      </c>
      <c r="H3" s="17" t="s">
        <v>91</v>
      </c>
      <c r="I3" s="18">
        <v>46080</v>
      </c>
      <c r="J3" s="18">
        <v>46108</v>
      </c>
      <c r="K3" s="17"/>
      <c r="L3" s="17" t="s">
        <v>103</v>
      </c>
      <c r="M3" s="17" t="s">
        <v>86</v>
      </c>
      <c r="N3" s="17" t="s">
        <v>86</v>
      </c>
      <c r="O3" s="17" t="s">
        <v>87</v>
      </c>
      <c r="P3" s="17" t="s">
        <v>104</v>
      </c>
      <c r="Q3" s="17" t="s">
        <v>105</v>
      </c>
      <c r="R3" s="17" t="s">
        <v>106</v>
      </c>
      <c r="S3" s="17" t="s">
        <v>86</v>
      </c>
      <c r="T3" s="17" t="s">
        <v>86</v>
      </c>
      <c r="U3" s="17" t="s">
        <v>87</v>
      </c>
      <c r="V3" s="17" t="s">
        <v>91</v>
      </c>
      <c r="W3" s="17" t="s">
        <v>92</v>
      </c>
      <c r="X3" s="17" t="s">
        <v>148</v>
      </c>
      <c r="Y3" s="17" t="s">
        <v>149</v>
      </c>
      <c r="Z3" s="17" t="s">
        <v>150</v>
      </c>
      <c r="AA3" s="17" t="s">
        <v>151</v>
      </c>
      <c r="AB3" s="17" t="s">
        <v>152</v>
      </c>
      <c r="AC3" s="17" t="s">
        <v>153</v>
      </c>
      <c r="AD3" s="17" t="s">
        <v>154</v>
      </c>
      <c r="AE3" s="17" t="s">
        <v>139</v>
      </c>
      <c r="AF3" s="17" t="s">
        <v>155</v>
      </c>
      <c r="AG3" s="17" t="s">
        <v>156</v>
      </c>
      <c r="AH3" s="17" t="s">
        <v>157</v>
      </c>
      <c r="AI3" s="17" t="s">
        <v>158</v>
      </c>
      <c r="AJ3" s="17" t="s">
        <v>159</v>
      </c>
      <c r="AK3" s="17" t="s">
        <v>160</v>
      </c>
      <c r="AL3" s="17" t="s">
        <v>161</v>
      </c>
      <c r="AM3" s="17" t="s">
        <v>139</v>
      </c>
      <c r="AN3" s="17" t="s">
        <v>162</v>
      </c>
      <c r="AO3" s="17" t="s">
        <v>163</v>
      </c>
      <c r="AP3" s="17" t="s">
        <v>152</v>
      </c>
      <c r="AQ3" s="17" t="s">
        <v>164</v>
      </c>
      <c r="AR3" s="17" t="s">
        <v>165</v>
      </c>
      <c r="AS3" s="17" t="s">
        <v>166</v>
      </c>
      <c r="AT3" s="17" t="s">
        <v>167</v>
      </c>
      <c r="AU3" s="17" t="s">
        <v>139</v>
      </c>
      <c r="AV3" s="17" t="s">
        <v>107</v>
      </c>
      <c r="AW3" s="17" t="s">
        <v>94</v>
      </c>
      <c r="AX3" s="19" t="s">
        <v>95</v>
      </c>
      <c r="AY3" s="11"/>
      <c r="AZ3" s="12">
        <f t="shared" si="0"/>
        <v>28</v>
      </c>
      <c r="BA3" s="11"/>
      <c r="BB3" s="13">
        <f t="array" ref="BB3">IF(AC3=0,"-",(AC3/(((PI()*BC3*BC3)/4)*AVERAGE(_xlfn.NUMBERVALUE(Z3:AB3))))*1000000)</f>
        <v>2213.9336962746343</v>
      </c>
      <c r="BC3" s="14">
        <f t="array" ref="BC3">IF(X3=0,"-",AVERAGE(_xlfn.NUMBERVALUE(X3:Y3)))</f>
        <v>101.93</v>
      </c>
      <c r="BD3" s="15">
        <f t="shared" si="1"/>
        <v>36.923698993098888</v>
      </c>
      <c r="BE3" s="15">
        <f t="shared" si="2"/>
        <v>133.87853151957538</v>
      </c>
      <c r="BF3" s="13">
        <f t="array" ref="BF3">IF(AK3=0,"-",(AK3/(((PI()*BG3*BG3)/4)*AVERAGE(_xlfn.NUMBERVALUE(AH3:AJ3))))*1000000)</f>
        <v>2218.8589414021262</v>
      </c>
      <c r="BG3" s="14">
        <f t="array" ref="BG3">IF(AF3=0,"-",AVERAGE(_xlfn.NUMBERVALUE(AF3:AG3)))</f>
        <v>101.94</v>
      </c>
      <c r="BH3" s="15">
        <f t="shared" si="3"/>
        <v>35.887254272501849</v>
      </c>
      <c r="BI3" s="15">
        <f t="shared" si="4"/>
        <v>130.12057386693928</v>
      </c>
      <c r="BJ3" s="13">
        <f t="array" ref="BJ3">IF(AS3=0,"-",(AS3/(((PI()*BK3*BK3)/4)*AVERAGE(_xlfn.NUMBERVALUE(AP3:AR3))))*1000000)</f>
        <v>2218.4111907354923</v>
      </c>
      <c r="BK3" s="14">
        <f t="array" ref="BK3">IF(AN3=0,"-",AVERAGE(_xlfn.NUMBERVALUE(AN3:AO3)))</f>
        <v>102.15</v>
      </c>
      <c r="BL3" s="15">
        <f t="shared" si="5"/>
        <v>37.643374214141211</v>
      </c>
      <c r="BM3" s="15">
        <f t="shared" si="6"/>
        <v>136.48794131305732</v>
      </c>
      <c r="BN3" s="15">
        <f t="shared" si="7"/>
        <v>36.81810915991398</v>
      </c>
      <c r="BO3" s="15">
        <f t="shared" si="7"/>
        <v>133.49568223319065</v>
      </c>
      <c r="BQ3">
        <f t="shared" si="8"/>
        <v>100</v>
      </c>
      <c r="BR3">
        <f t="shared" si="9"/>
        <v>130</v>
      </c>
      <c r="BS3">
        <f t="shared" si="10"/>
        <v>1</v>
      </c>
      <c r="BT3">
        <f t="shared" si="11"/>
        <v>0</v>
      </c>
      <c r="BU3">
        <f t="shared" si="12"/>
        <v>0</v>
      </c>
      <c r="BV3">
        <f t="shared" si="13"/>
        <v>0</v>
      </c>
      <c r="BW3">
        <f t="shared" si="14"/>
        <v>0</v>
      </c>
      <c r="BX3">
        <f t="shared" si="15"/>
        <v>0</v>
      </c>
      <c r="BY3">
        <f t="shared" si="16"/>
        <v>0</v>
      </c>
    </row>
    <row r="4" spans="1:77" ht="14.25" customHeight="1">
      <c r="A4" s="7" t="s">
        <v>108</v>
      </c>
      <c r="B4" s="8" t="s">
        <v>109</v>
      </c>
      <c r="C4" s="9">
        <v>46090</v>
      </c>
      <c r="D4" s="8" t="s">
        <v>80</v>
      </c>
      <c r="E4" s="8" t="s">
        <v>110</v>
      </c>
      <c r="F4" s="8" t="s">
        <v>100</v>
      </c>
      <c r="G4" s="8">
        <v>27.58</v>
      </c>
      <c r="H4" s="8" t="s">
        <v>91</v>
      </c>
      <c r="I4" s="9">
        <v>46080</v>
      </c>
      <c r="J4" s="9">
        <v>46108</v>
      </c>
      <c r="K4" s="8"/>
      <c r="L4" s="8" t="s">
        <v>103</v>
      </c>
      <c r="M4" s="8" t="s">
        <v>86</v>
      </c>
      <c r="N4" s="8" t="s">
        <v>86</v>
      </c>
      <c r="O4" s="8" t="s">
        <v>87</v>
      </c>
      <c r="P4" s="8" t="s">
        <v>104</v>
      </c>
      <c r="Q4" s="8" t="s">
        <v>105</v>
      </c>
      <c r="R4" s="8" t="s">
        <v>106</v>
      </c>
      <c r="S4" s="8" t="s">
        <v>86</v>
      </c>
      <c r="T4" s="8" t="s">
        <v>86</v>
      </c>
      <c r="U4" s="8" t="s">
        <v>87</v>
      </c>
      <c r="V4" s="8" t="s">
        <v>91</v>
      </c>
      <c r="W4" s="8" t="s">
        <v>92</v>
      </c>
      <c r="X4" s="8" t="s">
        <v>168</v>
      </c>
      <c r="Y4" s="8" t="s">
        <v>169</v>
      </c>
      <c r="Z4" s="8" t="s">
        <v>170</v>
      </c>
      <c r="AA4" s="8" t="s">
        <v>171</v>
      </c>
      <c r="AB4" s="8" t="s">
        <v>172</v>
      </c>
      <c r="AC4" s="8" t="s">
        <v>173</v>
      </c>
      <c r="AD4" s="8" t="s">
        <v>174</v>
      </c>
      <c r="AE4" s="8" t="s">
        <v>175</v>
      </c>
      <c r="AF4" s="8" t="s">
        <v>176</v>
      </c>
      <c r="AG4" s="8" t="s">
        <v>149</v>
      </c>
      <c r="AH4" s="8" t="s">
        <v>177</v>
      </c>
      <c r="AI4" s="8" t="s">
        <v>178</v>
      </c>
      <c r="AJ4" s="8" t="s">
        <v>177</v>
      </c>
      <c r="AK4" s="8" t="s">
        <v>179</v>
      </c>
      <c r="AL4" s="8" t="s">
        <v>180</v>
      </c>
      <c r="AM4" s="8" t="s">
        <v>175</v>
      </c>
      <c r="AN4" s="8" t="s">
        <v>181</v>
      </c>
      <c r="AO4" s="8" t="s">
        <v>182</v>
      </c>
      <c r="AP4" s="8" t="s">
        <v>164</v>
      </c>
      <c r="AQ4" s="8" t="s">
        <v>183</v>
      </c>
      <c r="AR4" s="8" t="s">
        <v>184</v>
      </c>
      <c r="AS4" s="8" t="s">
        <v>185</v>
      </c>
      <c r="AT4" s="8"/>
      <c r="AU4" s="8" t="s">
        <v>175</v>
      </c>
      <c r="AV4" s="8" t="s">
        <v>107</v>
      </c>
      <c r="AW4" s="8" t="s">
        <v>94</v>
      </c>
      <c r="AX4" s="10" t="s">
        <v>95</v>
      </c>
      <c r="AY4" s="11"/>
      <c r="AZ4" s="12">
        <f t="shared" si="0"/>
        <v>28</v>
      </c>
      <c r="BA4" s="11"/>
      <c r="BB4" s="13">
        <f t="array" ref="BB4">IF(AC4=0,"-",(AC4/(((PI()*BC4*BC4)/4)*AVERAGE(_xlfn.NUMBERVALUE(Z4:AB4))))*1000000)</f>
        <v>2148.9635952744047</v>
      </c>
      <c r="BC4" s="14">
        <f t="array" ref="BC4">IF(X4=0,"-",AVERAGE(_xlfn.NUMBERVALUE(X4:Y4)))</f>
        <v>102.02000000000001</v>
      </c>
      <c r="BD4" s="15">
        <f t="shared" si="1"/>
        <v>45.128212888593886</v>
      </c>
      <c r="BE4" s="15">
        <f t="shared" si="2"/>
        <v>163.62658770338612</v>
      </c>
      <c r="BF4" s="13">
        <f t="array" ref="BF4">IF(AK4=0,"-",(AK4/(((PI()*BG4*BG4)/4)*AVERAGE(_xlfn.NUMBERVALUE(AH4:AJ4))))*1000000)</f>
        <v>2213.1342366645563</v>
      </c>
      <c r="BG4" s="14">
        <f t="array" ref="BG4">IF(AF4=0,"-",AVERAGE(_xlfn.NUMBERVALUE(AF4:AG4)))</f>
        <v>102.03999999999999</v>
      </c>
      <c r="BH4" s="15">
        <f t="shared" si="3"/>
        <v>42.28576653760534</v>
      </c>
      <c r="BI4" s="15">
        <f t="shared" si="4"/>
        <v>153.32040078899689</v>
      </c>
      <c r="BJ4" s="13">
        <f t="array" ref="BJ4">IF(AS4=0,"-",(AS4/(((PI()*BK4*BK4)/4)*AVERAGE(_xlfn.NUMBERVALUE(AP4:AR4))))*1000000)</f>
        <v>2164.6731020662201</v>
      </c>
      <c r="BK4" s="14">
        <f t="array" ref="BK4">IF(AN4=0,"-",AVERAGE(_xlfn.NUMBERVALUE(AN4:AO4)))</f>
        <v>102.11000000000001</v>
      </c>
      <c r="BL4" s="15" t="str">
        <f t="shared" si="5"/>
        <v>-</v>
      </c>
      <c r="BM4" s="15" t="str">
        <f t="shared" si="6"/>
        <v>-</v>
      </c>
      <c r="BN4" s="15">
        <f t="shared" si="7"/>
        <v>43.706989713099617</v>
      </c>
      <c r="BO4" s="15">
        <f t="shared" si="7"/>
        <v>158.47349424619151</v>
      </c>
      <c r="BQ4">
        <f t="shared" si="8"/>
        <v>100</v>
      </c>
      <c r="BR4">
        <f t="shared" si="9"/>
        <v>130</v>
      </c>
      <c r="BS4">
        <f t="shared" si="10"/>
        <v>1</v>
      </c>
      <c r="BT4">
        <f t="shared" si="11"/>
        <v>1</v>
      </c>
      <c r="BU4">
        <f t="shared" si="12"/>
        <v>1</v>
      </c>
      <c r="BV4" t="str">
        <f t="shared" si="13"/>
        <v>-</v>
      </c>
      <c r="BW4">
        <f t="shared" si="14"/>
        <v>0</v>
      </c>
      <c r="BX4">
        <f t="shared" si="15"/>
        <v>0</v>
      </c>
      <c r="BY4">
        <f t="shared" si="16"/>
        <v>0</v>
      </c>
    </row>
    <row r="5" spans="1:77">
      <c r="A5" s="16" t="s">
        <v>111</v>
      </c>
      <c r="B5" s="17" t="s">
        <v>112</v>
      </c>
      <c r="C5" s="18">
        <v>46090</v>
      </c>
      <c r="D5" s="17" t="s">
        <v>80</v>
      </c>
      <c r="E5" s="17" t="s">
        <v>113</v>
      </c>
      <c r="F5" s="17" t="s">
        <v>100</v>
      </c>
      <c r="G5" s="17">
        <v>24.13</v>
      </c>
      <c r="H5" s="17" t="s">
        <v>91</v>
      </c>
      <c r="I5" s="18">
        <v>46080</v>
      </c>
      <c r="J5" s="18">
        <v>46108</v>
      </c>
      <c r="K5" s="17"/>
      <c r="L5" s="17" t="s">
        <v>103</v>
      </c>
      <c r="M5" s="17" t="s">
        <v>86</v>
      </c>
      <c r="N5" s="17" t="s">
        <v>86</v>
      </c>
      <c r="O5" s="17" t="s">
        <v>87</v>
      </c>
      <c r="P5" s="17" t="s">
        <v>104</v>
      </c>
      <c r="Q5" s="17" t="s">
        <v>105</v>
      </c>
      <c r="R5" s="17" t="s">
        <v>106</v>
      </c>
      <c r="S5" s="17" t="s">
        <v>86</v>
      </c>
      <c r="T5" s="17" t="s">
        <v>86</v>
      </c>
      <c r="U5" s="17" t="s">
        <v>87</v>
      </c>
      <c r="V5" s="17" t="s">
        <v>91</v>
      </c>
      <c r="W5" s="17" t="s">
        <v>92</v>
      </c>
      <c r="X5" s="17" t="s">
        <v>149</v>
      </c>
      <c r="Y5" s="17" t="s">
        <v>148</v>
      </c>
      <c r="Z5" s="17" t="s">
        <v>178</v>
      </c>
      <c r="AA5" s="17" t="s">
        <v>177</v>
      </c>
      <c r="AB5" s="17" t="s">
        <v>178</v>
      </c>
      <c r="AC5" s="17" t="s">
        <v>186</v>
      </c>
      <c r="AD5" s="17" t="s">
        <v>187</v>
      </c>
      <c r="AE5" s="17" t="s">
        <v>175</v>
      </c>
      <c r="AF5" s="17" t="s">
        <v>182</v>
      </c>
      <c r="AG5" s="17" t="s">
        <v>149</v>
      </c>
      <c r="AH5" s="17" t="s">
        <v>183</v>
      </c>
      <c r="AI5" s="17" t="s">
        <v>178</v>
      </c>
      <c r="AJ5" s="17" t="s">
        <v>188</v>
      </c>
      <c r="AK5" s="17" t="s">
        <v>186</v>
      </c>
      <c r="AL5" s="17" t="s">
        <v>189</v>
      </c>
      <c r="AM5" s="17" t="s">
        <v>175</v>
      </c>
      <c r="AN5" s="17" t="s">
        <v>168</v>
      </c>
      <c r="AO5" s="17" t="s">
        <v>190</v>
      </c>
      <c r="AP5" s="17" t="s">
        <v>178</v>
      </c>
      <c r="AQ5" s="17" t="s">
        <v>177</v>
      </c>
      <c r="AR5" s="17" t="s">
        <v>191</v>
      </c>
      <c r="AS5" s="17" t="s">
        <v>192</v>
      </c>
      <c r="AT5" s="17" t="s">
        <v>193</v>
      </c>
      <c r="AU5" s="17" t="s">
        <v>175</v>
      </c>
      <c r="AV5" s="17" t="s">
        <v>107</v>
      </c>
      <c r="AW5" s="17" t="s">
        <v>94</v>
      </c>
      <c r="AX5" s="19" t="s">
        <v>95</v>
      </c>
      <c r="AY5" s="11"/>
      <c r="AZ5" s="12">
        <f t="shared" si="0"/>
        <v>28</v>
      </c>
      <c r="BA5" s="11"/>
      <c r="BB5" s="13">
        <f t="array" ref="BB5">IF(AC5=0,"-",(AC5/(((PI()*BC5*BC5)/4)*AVERAGE(_xlfn.NUMBERVALUE(Z5:AB5))))*1000000)</f>
        <v>2164.7886556822623</v>
      </c>
      <c r="BC5" s="14">
        <f t="array" ref="BC5">IF(X5=0,"-",AVERAGE(_xlfn.NUMBERVALUE(X5:Y5)))</f>
        <v>101.93</v>
      </c>
      <c r="BD5" s="15">
        <f t="shared" si="1"/>
        <v>46.629497068948318</v>
      </c>
      <c r="BE5" s="15">
        <f t="shared" si="2"/>
        <v>193.24283907562503</v>
      </c>
      <c r="BF5" s="13">
        <f t="array" ref="BF5">IF(AK5=0,"-",(AK5/(((PI()*BG5*BG5)/4)*AVERAGE(_xlfn.NUMBERVALUE(AH5:AJ5))))*1000000)</f>
        <v>2159.4656492774961</v>
      </c>
      <c r="BG5" s="14">
        <f t="array" ref="BG5">IF(AF5=0,"-",AVERAGE(_xlfn.NUMBERVALUE(AF5:AG5)))</f>
        <v>102</v>
      </c>
      <c r="BH5" s="15">
        <f t="shared" si="3"/>
        <v>42.575935948996843</v>
      </c>
      <c r="BI5" s="15">
        <f t="shared" si="4"/>
        <v>176.44399481556917</v>
      </c>
      <c r="BJ5" s="13">
        <f t="array" ref="BJ5">IF(AS5=0,"-",(AS5/(((PI()*BK5*BK5)/4)*AVERAGE(_xlfn.NUMBERVALUE(AP5:AR5))))*1000000)</f>
        <v>2221.1765645584314</v>
      </c>
      <c r="BK5" s="14">
        <f t="array" ref="BK5">IF(AN5=0,"-",AVERAGE(_xlfn.NUMBERVALUE(AN5:AO5)))</f>
        <v>102.15</v>
      </c>
      <c r="BL5" s="15">
        <f t="shared" si="5"/>
        <v>48.564223459410698</v>
      </c>
      <c r="BM5" s="15">
        <f t="shared" si="6"/>
        <v>201.26076858437921</v>
      </c>
      <c r="BN5" s="15">
        <f t="shared" si="7"/>
        <v>45.923218825785284</v>
      </c>
      <c r="BO5" s="15">
        <f t="shared" si="7"/>
        <v>190.3158674918578</v>
      </c>
      <c r="BQ5">
        <f t="shared" si="8"/>
        <v>100</v>
      </c>
      <c r="BR5">
        <f t="shared" si="9"/>
        <v>130</v>
      </c>
      <c r="BS5">
        <f t="shared" si="10"/>
        <v>1</v>
      </c>
      <c r="BT5">
        <f t="shared" si="11"/>
        <v>0</v>
      </c>
      <c r="BU5">
        <f t="shared" si="12"/>
        <v>1</v>
      </c>
      <c r="BV5">
        <f t="shared" si="13"/>
        <v>1</v>
      </c>
      <c r="BW5">
        <f t="shared" si="14"/>
        <v>0</v>
      </c>
      <c r="BX5">
        <f t="shared" si="15"/>
        <v>0</v>
      </c>
      <c r="BY5">
        <f t="shared" si="16"/>
        <v>0</v>
      </c>
    </row>
    <row r="6" spans="1:77">
      <c r="A6" s="7" t="s">
        <v>114</v>
      </c>
      <c r="B6" s="8" t="s">
        <v>115</v>
      </c>
      <c r="C6" s="9">
        <v>46090</v>
      </c>
      <c r="D6" s="8" t="s">
        <v>80</v>
      </c>
      <c r="E6" s="8" t="s">
        <v>116</v>
      </c>
      <c r="F6" s="8" t="s">
        <v>100</v>
      </c>
      <c r="G6" s="8">
        <v>27.58</v>
      </c>
      <c r="H6" s="8" t="s">
        <v>91</v>
      </c>
      <c r="I6" s="9">
        <v>46080</v>
      </c>
      <c r="J6" s="9">
        <v>46108</v>
      </c>
      <c r="K6" s="8"/>
      <c r="L6" s="8" t="s">
        <v>103</v>
      </c>
      <c r="M6" s="8" t="s">
        <v>86</v>
      </c>
      <c r="N6" s="8" t="s">
        <v>86</v>
      </c>
      <c r="O6" s="8" t="s">
        <v>87</v>
      </c>
      <c r="P6" s="8" t="s">
        <v>104</v>
      </c>
      <c r="Q6" s="8" t="s">
        <v>105</v>
      </c>
      <c r="R6" s="8" t="s">
        <v>106</v>
      </c>
      <c r="S6" s="8" t="s">
        <v>86</v>
      </c>
      <c r="T6" s="8" t="s">
        <v>86</v>
      </c>
      <c r="U6" s="8" t="s">
        <v>87</v>
      </c>
      <c r="V6" s="8" t="s">
        <v>91</v>
      </c>
      <c r="W6" s="8" t="s">
        <v>92</v>
      </c>
      <c r="X6" s="8" t="s">
        <v>155</v>
      </c>
      <c r="Y6" s="8" t="s">
        <v>182</v>
      </c>
      <c r="Z6" s="8" t="s">
        <v>194</v>
      </c>
      <c r="AA6" s="8" t="s">
        <v>158</v>
      </c>
      <c r="AB6" s="8" t="s">
        <v>164</v>
      </c>
      <c r="AC6" s="8" t="s">
        <v>195</v>
      </c>
      <c r="AD6" s="8" t="s">
        <v>196</v>
      </c>
      <c r="AE6" s="8" t="s">
        <v>175</v>
      </c>
      <c r="AF6" s="8" t="s">
        <v>197</v>
      </c>
      <c r="AG6" s="8" t="s">
        <v>168</v>
      </c>
      <c r="AH6" s="8" t="s">
        <v>188</v>
      </c>
      <c r="AI6" s="8" t="s">
        <v>198</v>
      </c>
      <c r="AJ6" s="8" t="s">
        <v>188</v>
      </c>
      <c r="AK6" s="8" t="s">
        <v>199</v>
      </c>
      <c r="AL6" s="8" t="s">
        <v>200</v>
      </c>
      <c r="AM6" s="8" t="s">
        <v>175</v>
      </c>
      <c r="AN6" s="8" t="s">
        <v>201</v>
      </c>
      <c r="AO6" s="8" t="s">
        <v>202</v>
      </c>
      <c r="AP6" s="8" t="s">
        <v>184</v>
      </c>
      <c r="AQ6" s="8" t="s">
        <v>203</v>
      </c>
      <c r="AR6" s="8" t="s">
        <v>184</v>
      </c>
      <c r="AS6" s="8" t="s">
        <v>204</v>
      </c>
      <c r="AT6" s="8" t="s">
        <v>205</v>
      </c>
      <c r="AU6" s="8" t="s">
        <v>175</v>
      </c>
      <c r="AV6" s="8" t="s">
        <v>107</v>
      </c>
      <c r="AW6" s="8" t="s">
        <v>94</v>
      </c>
      <c r="AX6" s="10" t="s">
        <v>95</v>
      </c>
      <c r="AY6" s="11"/>
      <c r="AZ6" s="12">
        <f t="shared" si="0"/>
        <v>28</v>
      </c>
      <c r="BA6" s="11"/>
      <c r="BB6" s="13">
        <f t="array" ref="BB6">IF(AC6=0,"-",(AC6/(((PI()*BC6*BC6)/4)*AVERAGE(_xlfn.NUMBERVALUE(Z6:AB6))))*1000000)</f>
        <v>2098.2291981126973</v>
      </c>
      <c r="BC6" s="14">
        <f t="array" ref="BC6">IF(X6=0,"-",AVERAGE(_xlfn.NUMBERVALUE(X6:Y6)))</f>
        <v>102.07</v>
      </c>
      <c r="BD6" s="15">
        <f t="shared" si="1"/>
        <v>39.93888506729656</v>
      </c>
      <c r="BE6" s="15">
        <f t="shared" si="2"/>
        <v>144.811040853142</v>
      </c>
      <c r="BF6" s="13">
        <f t="array" ref="BF6">IF(AK6=0,"-",(AK6/(((PI()*BG6*BG6)/4)*AVERAGE(_xlfn.NUMBERVALUE(AH6:AJ6))))*1000000)</f>
        <v>2154.7040678285471</v>
      </c>
      <c r="BG6" s="14">
        <f t="array" ref="BG6">IF(AF6=0,"-",AVERAGE(_xlfn.NUMBERVALUE(AF6:AG6)))</f>
        <v>102.1</v>
      </c>
      <c r="BH6" s="15">
        <f t="shared" si="3"/>
        <v>43.530768047650852</v>
      </c>
      <c r="BI6" s="15">
        <f t="shared" si="4"/>
        <v>157.83454694579714</v>
      </c>
      <c r="BJ6" s="13">
        <f t="array" ref="BJ6">IF(AS6=0,"-",(AS6/(((PI()*BK6*BK6)/4)*AVERAGE(_xlfn.NUMBERVALUE(AP6:AR6))))*1000000)</f>
        <v>2217.1121445009107</v>
      </c>
      <c r="BK6" s="14">
        <f t="array" ref="BK6">IF(AN6=0,"-",AVERAGE(_xlfn.NUMBERVALUE(AN6:AO6)))</f>
        <v>101.89</v>
      </c>
      <c r="BL6" s="15">
        <f t="shared" si="5"/>
        <v>39.479166113025293</v>
      </c>
      <c r="BM6" s="15">
        <f t="shared" si="6"/>
        <v>143.14418460125196</v>
      </c>
      <c r="BN6" s="15">
        <f t="shared" si="7"/>
        <v>40.982939742657571</v>
      </c>
      <c r="BO6" s="15">
        <f t="shared" si="7"/>
        <v>148.59659080006369</v>
      </c>
      <c r="BQ6">
        <f t="shared" si="8"/>
        <v>100</v>
      </c>
      <c r="BR6">
        <f t="shared" si="9"/>
        <v>130</v>
      </c>
      <c r="BS6">
        <f t="shared" si="10"/>
        <v>1</v>
      </c>
      <c r="BT6">
        <f t="shared" si="11"/>
        <v>0</v>
      </c>
      <c r="BU6">
        <f t="shared" si="12"/>
        <v>1</v>
      </c>
      <c r="BV6">
        <f t="shared" si="13"/>
        <v>1</v>
      </c>
      <c r="BW6">
        <f t="shared" si="14"/>
        <v>0</v>
      </c>
      <c r="BX6">
        <f t="shared" si="15"/>
        <v>0</v>
      </c>
      <c r="BY6">
        <f t="shared" si="16"/>
        <v>0</v>
      </c>
    </row>
    <row r="7" spans="1:77">
      <c r="A7" s="16" t="s">
        <v>117</v>
      </c>
      <c r="B7" s="17" t="s">
        <v>118</v>
      </c>
      <c r="C7" s="18">
        <v>46090</v>
      </c>
      <c r="D7" s="17" t="s">
        <v>80</v>
      </c>
      <c r="E7" s="17" t="s">
        <v>119</v>
      </c>
      <c r="F7" s="17" t="s">
        <v>100</v>
      </c>
      <c r="G7" s="17">
        <v>27.58</v>
      </c>
      <c r="H7" s="17" t="s">
        <v>91</v>
      </c>
      <c r="I7" s="18">
        <v>46081</v>
      </c>
      <c r="J7" s="18">
        <v>46109</v>
      </c>
      <c r="K7" s="17"/>
      <c r="L7" s="17" t="s">
        <v>103</v>
      </c>
      <c r="M7" s="17" t="s">
        <v>86</v>
      </c>
      <c r="N7" s="17" t="s">
        <v>86</v>
      </c>
      <c r="O7" s="17" t="s">
        <v>87</v>
      </c>
      <c r="P7" s="17" t="s">
        <v>104</v>
      </c>
      <c r="Q7" s="17" t="s">
        <v>105</v>
      </c>
      <c r="R7" s="17" t="s">
        <v>106</v>
      </c>
      <c r="S7" s="17" t="s">
        <v>86</v>
      </c>
      <c r="T7" s="17" t="s">
        <v>86</v>
      </c>
      <c r="U7" s="17" t="s">
        <v>87</v>
      </c>
      <c r="V7" s="17" t="s">
        <v>91</v>
      </c>
      <c r="W7" s="17" t="s">
        <v>92</v>
      </c>
      <c r="X7" s="17" t="s">
        <v>145</v>
      </c>
      <c r="Y7" s="17" t="s">
        <v>206</v>
      </c>
      <c r="Z7" s="17" t="s">
        <v>135</v>
      </c>
      <c r="AA7" s="17" t="s">
        <v>207</v>
      </c>
      <c r="AB7" s="17" t="s">
        <v>208</v>
      </c>
      <c r="AC7" s="17" t="s">
        <v>137</v>
      </c>
      <c r="AD7" s="17" t="s">
        <v>209</v>
      </c>
      <c r="AE7" s="17" t="s">
        <v>144</v>
      </c>
      <c r="AF7" s="17" t="s">
        <v>210</v>
      </c>
      <c r="AG7" s="17" t="s">
        <v>211</v>
      </c>
      <c r="AH7" s="17" t="s">
        <v>136</v>
      </c>
      <c r="AI7" s="17" t="s">
        <v>212</v>
      </c>
      <c r="AJ7" s="17" t="s">
        <v>213</v>
      </c>
      <c r="AK7" s="17" t="s">
        <v>214</v>
      </c>
      <c r="AL7" s="17" t="s">
        <v>215</v>
      </c>
      <c r="AM7" s="17" t="s">
        <v>139</v>
      </c>
      <c r="AN7" s="17" t="s">
        <v>140</v>
      </c>
      <c r="AO7" s="17" t="s">
        <v>211</v>
      </c>
      <c r="AP7" s="17" t="s">
        <v>216</v>
      </c>
      <c r="AQ7" s="17" t="s">
        <v>136</v>
      </c>
      <c r="AR7" s="17" t="s">
        <v>141</v>
      </c>
      <c r="AS7" s="17" t="s">
        <v>137</v>
      </c>
      <c r="AT7" s="17" t="s">
        <v>217</v>
      </c>
      <c r="AU7" s="17" t="s">
        <v>144</v>
      </c>
      <c r="AV7" s="17" t="s">
        <v>107</v>
      </c>
      <c r="AW7" s="17" t="s">
        <v>94</v>
      </c>
      <c r="AX7" s="19" t="s">
        <v>95</v>
      </c>
      <c r="AY7" s="11"/>
      <c r="AZ7" s="12">
        <f t="shared" si="0"/>
        <v>28</v>
      </c>
      <c r="BA7" s="11"/>
      <c r="BB7" s="13">
        <f t="array" ref="BB7">IF(AC7=0,"-",(AC7/(((PI()*BC7*BC7)/4)*AVERAGE(_xlfn.NUMBERVALUE(Z7:AB7))))*1000000)</f>
        <v>2185.735560426358</v>
      </c>
      <c r="BC7" s="14">
        <f t="array" ref="BC7">IF(X7=0,"-",AVERAGE(_xlfn.NUMBERVALUE(X7:Y7)))</f>
        <v>100.83000000000001</v>
      </c>
      <c r="BD7" s="15">
        <f t="shared" si="1"/>
        <v>23.394160015708589</v>
      </c>
      <c r="BE7" s="15">
        <f t="shared" si="2"/>
        <v>84.822915212866533</v>
      </c>
      <c r="BF7" s="13">
        <f t="array" ref="BF7">IF(AK7=0,"-",(AK7/(((PI()*BG7*BG7)/4)*AVERAGE(_xlfn.NUMBERVALUE(AH7:AJ7))))*1000000)</f>
        <v>2171.266828291743</v>
      </c>
      <c r="BG7" s="14">
        <f t="array" ref="BG7">IF(AF7=0,"-",AVERAGE(_xlfn.NUMBERVALUE(AF7:AG7)))</f>
        <v>100.78999999999999</v>
      </c>
      <c r="BH7" s="15">
        <f t="shared" si="3"/>
        <v>23.049258440106712</v>
      </c>
      <c r="BI7" s="15">
        <f t="shared" si="4"/>
        <v>83.572365627653056</v>
      </c>
      <c r="BJ7" s="13">
        <f t="array" ref="BJ7">IF(AS7=0,"-",(AS7/(((PI()*BK7*BK7)/4)*AVERAGE(_xlfn.NUMBERVALUE(AP7:AR7))))*1000000)</f>
        <v>2192.0384525055456</v>
      </c>
      <c r="BK7" s="14">
        <f t="array" ref="BK7">IF(AN7=0,"-",AVERAGE(_xlfn.NUMBERVALUE(AN7:AO7)))</f>
        <v>100.69999999999999</v>
      </c>
      <c r="BL7" s="15">
        <f t="shared" si="5"/>
        <v>21.947881455403682</v>
      </c>
      <c r="BM7" s="15">
        <f t="shared" si="6"/>
        <v>79.57897554533605</v>
      </c>
      <c r="BN7" s="15">
        <f t="shared" si="7"/>
        <v>22.797099970406332</v>
      </c>
      <c r="BO7" s="15">
        <f t="shared" si="7"/>
        <v>82.658085461951885</v>
      </c>
      <c r="BQ7">
        <f t="shared" si="8"/>
        <v>100</v>
      </c>
      <c r="BR7">
        <f t="shared" si="9"/>
        <v>130</v>
      </c>
      <c r="BS7">
        <f t="shared" si="10"/>
        <v>1</v>
      </c>
      <c r="BT7">
        <f t="shared" si="11"/>
        <v>0</v>
      </c>
      <c r="BU7">
        <f t="shared" si="12"/>
        <v>0</v>
      </c>
      <c r="BV7">
        <f t="shared" si="13"/>
        <v>0</v>
      </c>
      <c r="BW7">
        <f t="shared" si="14"/>
        <v>0</v>
      </c>
      <c r="BX7">
        <f t="shared" si="15"/>
        <v>0</v>
      </c>
      <c r="BY7">
        <f t="shared" si="16"/>
        <v>0</v>
      </c>
    </row>
    <row r="8" spans="1:77">
      <c r="A8" s="7" t="s">
        <v>122</v>
      </c>
      <c r="B8" s="8" t="s">
        <v>123</v>
      </c>
      <c r="C8" s="9">
        <v>46104</v>
      </c>
      <c r="D8" s="8" t="s">
        <v>80</v>
      </c>
      <c r="E8" s="8" t="s">
        <v>218</v>
      </c>
      <c r="F8" s="8" t="s">
        <v>125</v>
      </c>
      <c r="G8" s="8">
        <v>28</v>
      </c>
      <c r="H8" s="8" t="s">
        <v>126</v>
      </c>
      <c r="I8" s="9">
        <v>46097</v>
      </c>
      <c r="J8" s="9">
        <v>46104</v>
      </c>
      <c r="K8" s="8"/>
      <c r="L8" s="8" t="s">
        <v>85</v>
      </c>
      <c r="M8" s="8" t="s">
        <v>86</v>
      </c>
      <c r="N8" s="8" t="s">
        <v>86</v>
      </c>
      <c r="O8" s="8" t="s">
        <v>87</v>
      </c>
      <c r="P8" s="8" t="s">
        <v>88</v>
      </c>
      <c r="Q8" s="8" t="s">
        <v>89</v>
      </c>
      <c r="R8" s="8" t="s">
        <v>90</v>
      </c>
      <c r="S8" s="8" t="s">
        <v>86</v>
      </c>
      <c r="T8" s="8" t="s">
        <v>86</v>
      </c>
      <c r="U8" s="8" t="s">
        <v>87</v>
      </c>
      <c r="V8" s="8" t="s">
        <v>91</v>
      </c>
      <c r="W8" s="8" t="s">
        <v>92</v>
      </c>
      <c r="X8" s="8" t="s">
        <v>168</v>
      </c>
      <c r="Y8" s="8" t="s">
        <v>219</v>
      </c>
      <c r="Z8" s="8" t="s">
        <v>220</v>
      </c>
      <c r="AA8" s="8" t="s">
        <v>171</v>
      </c>
      <c r="AB8" s="8" t="s">
        <v>194</v>
      </c>
      <c r="AC8" s="8" t="s">
        <v>160</v>
      </c>
      <c r="AD8" s="8">
        <v>209.4</v>
      </c>
      <c r="AE8" s="8" t="s">
        <v>175</v>
      </c>
      <c r="AF8" s="8" t="s">
        <v>169</v>
      </c>
      <c r="AG8" s="8" t="s">
        <v>221</v>
      </c>
      <c r="AH8" s="8" t="s">
        <v>159</v>
      </c>
      <c r="AI8" s="8" t="s">
        <v>222</v>
      </c>
      <c r="AJ8" s="8" t="s">
        <v>151</v>
      </c>
      <c r="AK8" s="8" t="s">
        <v>160</v>
      </c>
      <c r="AL8" s="8" t="s">
        <v>223</v>
      </c>
      <c r="AM8" s="8" t="s">
        <v>175</v>
      </c>
      <c r="AN8" s="8" t="s">
        <v>224</v>
      </c>
      <c r="AO8" s="8" t="s">
        <v>156</v>
      </c>
      <c r="AP8" s="8" t="s">
        <v>225</v>
      </c>
      <c r="AQ8" s="8" t="s">
        <v>226</v>
      </c>
      <c r="AR8" s="8" t="s">
        <v>227</v>
      </c>
      <c r="AS8" s="8" t="s">
        <v>173</v>
      </c>
      <c r="AT8" s="8" t="s">
        <v>228</v>
      </c>
      <c r="AU8" s="8" t="s">
        <v>175</v>
      </c>
      <c r="AV8" s="8" t="s">
        <v>93</v>
      </c>
      <c r="AW8" s="8" t="s">
        <v>94</v>
      </c>
      <c r="AX8" s="10" t="s">
        <v>95</v>
      </c>
      <c r="AY8" s="11"/>
      <c r="AZ8" s="12">
        <f t="shared" si="0"/>
        <v>7</v>
      </c>
      <c r="BA8" s="11"/>
      <c r="BB8" s="13">
        <f t="array" ref="BB8">IF(AC8=0,"-",(AC8/(((PI()*BC8*BC8)/4)*AVERAGE(_xlfn.NUMBERVALUE(Z8:AB8))))*1000000)</f>
        <v>2209.8859832781764</v>
      </c>
      <c r="BC8" s="14">
        <f t="array" ref="BC8">IF(X8=0,"-",AVERAGE(_xlfn.NUMBERVALUE(X8:Y8)))</f>
        <v>102.14</v>
      </c>
      <c r="BD8" s="15">
        <f t="shared" si="1"/>
        <v>25.556130016735565</v>
      </c>
      <c r="BE8" s="15">
        <f t="shared" si="2"/>
        <v>91.271892916912734</v>
      </c>
      <c r="BF8" s="13">
        <f t="array" ref="BF8">IF(AK8=0,"-",(AK8/(((PI()*BG8*BG8)/4)*AVERAGE(_xlfn.NUMBERVALUE(AH8:AJ8))))*1000000)</f>
        <v>2219.2167199629143</v>
      </c>
      <c r="BG8" s="14">
        <f t="array" ref="BG8">IF(AF8=0,"-",AVERAGE(_xlfn.NUMBERVALUE(AF8:AG8)))</f>
        <v>101.92</v>
      </c>
      <c r="BH8" s="15">
        <f t="shared" si="3"/>
        <v>26.585867787947162</v>
      </c>
      <c r="BI8" s="15">
        <f t="shared" si="4"/>
        <v>94.94952781409701</v>
      </c>
      <c r="BJ8" s="13">
        <f t="array" ref="BJ8">IF(AS8=0,"-",(AS8/(((PI()*BK8*BK8)/4)*AVERAGE(_xlfn.NUMBERVALUE(AP8:AR8))))*1000000)</f>
        <v>2149.895352613124</v>
      </c>
      <c r="BK8" s="14">
        <f t="array" ref="BK8">IF(AN8=0,"-",AVERAGE(_xlfn.NUMBERVALUE(AN8:AO8)))</f>
        <v>102.03999999999999</v>
      </c>
      <c r="BL8" s="15">
        <f t="shared" si="5"/>
        <v>26.988052848032098</v>
      </c>
      <c r="BM8" s="15">
        <f t="shared" si="6"/>
        <v>96.385903028686059</v>
      </c>
      <c r="BN8" s="15">
        <f t="shared" si="7"/>
        <v>26.376683550904943</v>
      </c>
      <c r="BO8" s="15">
        <f t="shared" si="7"/>
        <v>94.202441253231939</v>
      </c>
      <c r="BQ8">
        <f t="shared" si="8"/>
        <v>50</v>
      </c>
      <c r="BR8">
        <f t="shared" si="9"/>
        <v>90</v>
      </c>
      <c r="BS8">
        <f t="shared" si="10"/>
        <v>1</v>
      </c>
      <c r="BT8">
        <f t="shared" si="11"/>
        <v>0</v>
      </c>
      <c r="BU8">
        <f t="shared" si="12"/>
        <v>0</v>
      </c>
      <c r="BV8">
        <f t="shared" si="13"/>
        <v>0</v>
      </c>
      <c r="BW8">
        <f t="shared" si="14"/>
        <v>0</v>
      </c>
      <c r="BX8">
        <f t="shared" si="15"/>
        <v>0</v>
      </c>
      <c r="BY8">
        <f t="shared" si="16"/>
        <v>0</v>
      </c>
    </row>
    <row r="9" spans="1:77">
      <c r="A9" s="16" t="s">
        <v>128</v>
      </c>
      <c r="B9" s="17" t="s">
        <v>129</v>
      </c>
      <c r="C9" s="18">
        <v>46106</v>
      </c>
      <c r="D9" s="17" t="s">
        <v>80</v>
      </c>
      <c r="E9" s="17" t="s">
        <v>131</v>
      </c>
      <c r="F9" s="17" t="s">
        <v>100</v>
      </c>
      <c r="G9" s="17">
        <v>27.58</v>
      </c>
      <c r="H9" s="17" t="s">
        <v>91</v>
      </c>
      <c r="I9" s="18">
        <v>46079</v>
      </c>
      <c r="J9" s="18">
        <v>46107</v>
      </c>
      <c r="K9" s="17"/>
      <c r="L9" s="17" t="s">
        <v>103</v>
      </c>
      <c r="M9" s="17" t="s">
        <v>86</v>
      </c>
      <c r="N9" s="17" t="s">
        <v>86</v>
      </c>
      <c r="O9" s="17" t="s">
        <v>87</v>
      </c>
      <c r="P9" s="17" t="s">
        <v>104</v>
      </c>
      <c r="Q9" s="17" t="s">
        <v>105</v>
      </c>
      <c r="R9" s="17" t="s">
        <v>106</v>
      </c>
      <c r="S9" s="17" t="s">
        <v>86</v>
      </c>
      <c r="T9" s="17" t="s">
        <v>86</v>
      </c>
      <c r="U9" s="17" t="s">
        <v>87</v>
      </c>
      <c r="V9" s="17" t="s">
        <v>91</v>
      </c>
      <c r="W9" s="17" t="s">
        <v>92</v>
      </c>
      <c r="X9" s="17" t="s">
        <v>229</v>
      </c>
      <c r="Y9" s="17" t="s">
        <v>230</v>
      </c>
      <c r="Z9" s="17" t="s">
        <v>231</v>
      </c>
      <c r="AA9" s="17" t="s">
        <v>225</v>
      </c>
      <c r="AB9" s="17" t="s">
        <v>232</v>
      </c>
      <c r="AC9" s="17" t="s">
        <v>233</v>
      </c>
      <c r="AD9" s="17" t="s">
        <v>234</v>
      </c>
      <c r="AE9" s="17" t="s">
        <v>175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 t="s">
        <v>107</v>
      </c>
      <c r="AW9" s="17" t="s">
        <v>94</v>
      </c>
      <c r="AX9" s="19" t="s">
        <v>95</v>
      </c>
      <c r="AY9" s="11"/>
      <c r="AZ9" s="12">
        <f t="shared" si="0"/>
        <v>28</v>
      </c>
      <c r="BA9" s="11"/>
      <c r="BB9" s="13">
        <f t="array" ref="BB9">IF(AC9=0,"-",(AC9/(((PI()*BC9*BC9)/4)*AVERAGE(_xlfn.NUMBERVALUE(Z9:AB9))))*1000000)</f>
        <v>2149.9500551679171</v>
      </c>
      <c r="BC9" s="14">
        <f t="array" ref="BC9">IF(X9=0,"-",AVERAGE(_xlfn.NUMBERVALUE(X9:Y9)))</f>
        <v>101.91999999999999</v>
      </c>
      <c r="BD9" s="15">
        <f t="shared" si="1"/>
        <v>40.914535120409241</v>
      </c>
      <c r="BE9" s="15">
        <f t="shared" si="2"/>
        <v>148.34856823933734</v>
      </c>
      <c r="BF9" s="13" t="str">
        <f t="array" ref="BF9">IF(AK9=0,"-",(AK9/(((PI()*BG9*BG9)/4)*AVERAGE(_xlfn.NUMBERVALUE(AH9:AJ9))))*1000000)</f>
        <v>-</v>
      </c>
      <c r="BG9" s="14" t="str">
        <f t="array" ref="BG9">IF(AF9=0,"-",AVERAGE(_xlfn.NUMBERVALUE(AF9:AG9)))</f>
        <v>-</v>
      </c>
      <c r="BH9" s="15" t="str">
        <f t="shared" si="3"/>
        <v>-</v>
      </c>
      <c r="BI9" s="15" t="str">
        <f t="shared" si="4"/>
        <v>-</v>
      </c>
      <c r="BJ9" s="13" t="str">
        <f t="array" ref="BJ9">IF(AS9=0,"-",(AS9/(((PI()*BK9*BK9)/4)*AVERAGE(_xlfn.NUMBERVALUE(AP9:AR9))))*1000000)</f>
        <v>-</v>
      </c>
      <c r="BK9" s="14" t="str">
        <f t="array" ref="BK9">IF(AN9=0,"-",AVERAGE(_xlfn.NUMBERVALUE(AN9:AO9)))</f>
        <v>-</v>
      </c>
      <c r="BL9" s="15" t="str">
        <f t="shared" si="5"/>
        <v>-</v>
      </c>
      <c r="BM9" s="15" t="str">
        <f t="shared" si="6"/>
        <v>-</v>
      </c>
      <c r="BN9" s="15">
        <f t="shared" si="7"/>
        <v>40.914535120409241</v>
      </c>
      <c r="BO9" s="15">
        <f t="shared" si="7"/>
        <v>148.34856823933734</v>
      </c>
      <c r="BQ9">
        <f t="shared" si="8"/>
        <v>100</v>
      </c>
      <c r="BR9">
        <f t="shared" si="9"/>
        <v>130</v>
      </c>
      <c r="BS9">
        <f t="shared" si="10"/>
        <v>1</v>
      </c>
      <c r="BT9">
        <f t="shared" si="11"/>
        <v>0</v>
      </c>
      <c r="BU9" t="str">
        <f t="shared" si="12"/>
        <v>-</v>
      </c>
      <c r="BV9" t="str">
        <f t="shared" si="13"/>
        <v>-</v>
      </c>
      <c r="BW9">
        <f t="shared" si="14"/>
        <v>0</v>
      </c>
      <c r="BX9" t="str">
        <f t="shared" si="15"/>
        <v>-</v>
      </c>
      <c r="BY9" t="str">
        <f t="shared" si="16"/>
        <v>-</v>
      </c>
    </row>
  </sheetData>
  <conditionalFormatting sqref="BB1:BB9">
    <cfRule type="cellIs" dxfId="17" priority="9" operator="lessThan">
      <formula>2000</formula>
    </cfRule>
    <cfRule type="cellIs" dxfId="16" priority="10" operator="greaterThan">
      <formula>2500</formula>
    </cfRule>
    <cfRule type="expression" dxfId="15" priority="13">
      <formula>BW1=1</formula>
    </cfRule>
  </conditionalFormatting>
  <conditionalFormatting sqref="BD1:BD9">
    <cfRule type="expression" dxfId="14" priority="18">
      <formula>BT1=1</formula>
    </cfRule>
  </conditionalFormatting>
  <conditionalFormatting sqref="BE1:BE9">
    <cfRule type="expression" dxfId="13" priority="19">
      <formula>BT1=1</formula>
    </cfRule>
  </conditionalFormatting>
  <conditionalFormatting sqref="BF1 BF3:BF9">
    <cfRule type="expression" dxfId="12" priority="12">
      <formula>BX1=1</formula>
    </cfRule>
  </conditionalFormatting>
  <conditionalFormatting sqref="BF1:BF9">
    <cfRule type="cellIs" dxfId="11" priority="6" operator="lessThan">
      <formula>2000</formula>
    </cfRule>
    <cfRule type="cellIs" dxfId="10" priority="7" operator="greaterThan">
      <formula>2500</formula>
    </cfRule>
    <cfRule type="expression" dxfId="9" priority="8">
      <formula>CA1=1</formula>
    </cfRule>
  </conditionalFormatting>
  <conditionalFormatting sqref="BH1:BH9">
    <cfRule type="expression" dxfId="8" priority="17">
      <formula>BU1=1</formula>
    </cfRule>
  </conditionalFormatting>
  <conditionalFormatting sqref="BI1:BI9">
    <cfRule type="expression" dxfId="7" priority="16">
      <formula>BU1=1</formula>
    </cfRule>
  </conditionalFormatting>
  <conditionalFormatting sqref="BJ1:BJ9">
    <cfRule type="cellIs" dxfId="6" priority="3" operator="greaterThan">
      <formula>2500</formula>
    </cfRule>
    <cfRule type="cellIs" dxfId="5" priority="4" operator="lessThan">
      <formula>2000</formula>
    </cfRule>
    <cfRule type="expression" dxfId="4" priority="11">
      <formula>BY1=1</formula>
    </cfRule>
  </conditionalFormatting>
  <conditionalFormatting sqref="BL1:BL9">
    <cfRule type="expression" dxfId="3" priority="15">
      <formula>BV1=1</formula>
    </cfRule>
  </conditionalFormatting>
  <conditionalFormatting sqref="BM1:BM9">
    <cfRule type="expression" dxfId="2" priority="14">
      <formula>BV1=1</formula>
    </cfRule>
  </conditionalFormatting>
  <conditionalFormatting sqref="BN1:BN9">
    <cfRule type="expression" dxfId="1" priority="20">
      <formula>BS1=1</formula>
    </cfRule>
  </conditionalFormatting>
  <conditionalFormatting sqref="BO1:BO9">
    <cfRule type="expression" dxfId="0" priority="21">
      <formula>BS1=1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4FA6-6C1A-45D4-85B8-0B306D11C34D}">
  <dimension ref="A1:AA9"/>
  <sheetViews>
    <sheetView topLeftCell="M1" zoomScaleNormal="100" workbookViewId="0">
      <selection activeCell="T12" sqref="T12"/>
    </sheetView>
  </sheetViews>
  <sheetFormatPr baseColWidth="10" defaultColWidth="9.109375" defaultRowHeight="14.4"/>
  <cols>
    <col min="1" max="1" width="12.33203125" customWidth="1"/>
    <col min="2" max="2" width="9.109375" customWidth="1"/>
    <col min="3" max="3" width="10.88671875" customWidth="1"/>
    <col min="4" max="4" width="13" customWidth="1"/>
    <col min="5" max="5" width="9.109375" customWidth="1"/>
    <col min="6" max="6" width="13" customWidth="1"/>
    <col min="7" max="7" width="3.88671875" bestFit="1" customWidth="1"/>
    <col min="8" max="8" width="13" customWidth="1"/>
    <col min="9" max="10" width="10.6640625" customWidth="1"/>
    <col min="11" max="11" width="10.44140625" customWidth="1"/>
    <col min="12" max="23" width="13" customWidth="1"/>
    <col min="24" max="24" width="24.77734375" bestFit="1" customWidth="1"/>
    <col min="25" max="25" width="9.109375" customWidth="1"/>
    <col min="27" max="27" width="13" customWidth="1"/>
  </cols>
  <sheetData>
    <row r="1" spans="1:27" s="3" customFormat="1" ht="115.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47</v>
      </c>
      <c r="Y1" s="3" t="s">
        <v>48</v>
      </c>
      <c r="Z1" s="3" t="s">
        <v>371</v>
      </c>
      <c r="AA1" s="3" t="s">
        <v>362</v>
      </c>
    </row>
    <row r="2" spans="1:27">
      <c r="A2" s="7" t="s">
        <v>363</v>
      </c>
      <c r="B2" s="8" t="s">
        <v>78</v>
      </c>
      <c r="C2" s="9">
        <v>46085</v>
      </c>
      <c r="D2" s="8" t="s">
        <v>80</v>
      </c>
      <c r="E2" s="8" t="s">
        <v>134</v>
      </c>
      <c r="F2" s="8" t="s">
        <v>81</v>
      </c>
      <c r="G2" s="8">
        <v>28</v>
      </c>
      <c r="H2" s="8" t="s">
        <v>82</v>
      </c>
      <c r="I2" s="9">
        <v>46083</v>
      </c>
      <c r="J2" s="9">
        <v>46111</v>
      </c>
      <c r="K2" s="8"/>
      <c r="L2" s="8" t="s">
        <v>85</v>
      </c>
      <c r="M2" s="8" t="s">
        <v>86</v>
      </c>
      <c r="N2" s="8" t="s">
        <v>86</v>
      </c>
      <c r="O2" s="8" t="s">
        <v>87</v>
      </c>
      <c r="P2" s="8" t="s">
        <v>88</v>
      </c>
      <c r="Q2" s="8" t="s">
        <v>89</v>
      </c>
      <c r="R2" s="8" t="s">
        <v>90</v>
      </c>
      <c r="S2" s="8" t="s">
        <v>86</v>
      </c>
      <c r="T2" s="8" t="s">
        <v>86</v>
      </c>
      <c r="U2" s="8" t="s">
        <v>87</v>
      </c>
      <c r="V2" s="8" t="s">
        <v>91</v>
      </c>
      <c r="W2" s="8" t="s">
        <v>92</v>
      </c>
      <c r="X2" s="8" t="s">
        <v>93</v>
      </c>
      <c r="Y2" s="8" t="s">
        <v>94</v>
      </c>
      <c r="Z2">
        <v>151</v>
      </c>
      <c r="AA2">
        <v>1</v>
      </c>
    </row>
    <row r="3" spans="1:27" ht="14.25" customHeight="1">
      <c r="A3" s="7" t="s">
        <v>364</v>
      </c>
      <c r="B3" s="17" t="s">
        <v>97</v>
      </c>
      <c r="C3" s="18">
        <v>46090</v>
      </c>
      <c r="D3" s="17" t="s">
        <v>80</v>
      </c>
      <c r="E3" s="17" t="s">
        <v>99</v>
      </c>
      <c r="F3" s="17" t="s">
        <v>100</v>
      </c>
      <c r="G3" s="17">
        <v>27.58</v>
      </c>
      <c r="H3" s="17" t="s">
        <v>91</v>
      </c>
      <c r="I3" s="18">
        <v>46080</v>
      </c>
      <c r="J3" s="18">
        <v>46108</v>
      </c>
      <c r="K3" s="17"/>
      <c r="L3" s="17" t="s">
        <v>103</v>
      </c>
      <c r="M3" s="17" t="s">
        <v>86</v>
      </c>
      <c r="N3" s="17" t="s">
        <v>86</v>
      </c>
      <c r="O3" s="17" t="s">
        <v>87</v>
      </c>
      <c r="P3" s="17" t="s">
        <v>104</v>
      </c>
      <c r="Q3" s="17" t="s">
        <v>105</v>
      </c>
      <c r="R3" s="17" t="s">
        <v>106</v>
      </c>
      <c r="S3" s="17" t="s">
        <v>86</v>
      </c>
      <c r="T3" s="17" t="s">
        <v>86</v>
      </c>
      <c r="U3" s="17" t="s">
        <v>87</v>
      </c>
      <c r="V3" s="17" t="s">
        <v>91</v>
      </c>
      <c r="W3" s="17" t="s">
        <v>92</v>
      </c>
      <c r="X3" s="17" t="s">
        <v>107</v>
      </c>
      <c r="Y3" s="17" t="s">
        <v>94</v>
      </c>
      <c r="Z3">
        <v>151</v>
      </c>
      <c r="AA3">
        <v>1</v>
      </c>
    </row>
    <row r="4" spans="1:27" ht="14.25" customHeight="1">
      <c r="A4" s="7" t="s">
        <v>365</v>
      </c>
      <c r="B4" s="8" t="s">
        <v>109</v>
      </c>
      <c r="C4" s="9">
        <v>46090</v>
      </c>
      <c r="D4" s="8" t="s">
        <v>80</v>
      </c>
      <c r="E4" s="8" t="s">
        <v>110</v>
      </c>
      <c r="F4" s="8" t="s">
        <v>100</v>
      </c>
      <c r="G4" s="8">
        <v>27.58</v>
      </c>
      <c r="H4" s="8" t="s">
        <v>91</v>
      </c>
      <c r="I4" s="9">
        <v>46080</v>
      </c>
      <c r="J4" s="9">
        <v>46108</v>
      </c>
      <c r="K4" s="8"/>
      <c r="L4" s="8" t="s">
        <v>103</v>
      </c>
      <c r="M4" s="8" t="s">
        <v>86</v>
      </c>
      <c r="N4" s="8" t="s">
        <v>86</v>
      </c>
      <c r="O4" s="8" t="s">
        <v>87</v>
      </c>
      <c r="P4" s="8" t="s">
        <v>104</v>
      </c>
      <c r="Q4" s="8" t="s">
        <v>105</v>
      </c>
      <c r="R4" s="8" t="s">
        <v>106</v>
      </c>
      <c r="S4" s="8" t="s">
        <v>86</v>
      </c>
      <c r="T4" s="8" t="s">
        <v>86</v>
      </c>
      <c r="U4" s="8" t="s">
        <v>87</v>
      </c>
      <c r="V4" s="8" t="s">
        <v>91</v>
      </c>
      <c r="W4" s="8" t="s">
        <v>92</v>
      </c>
      <c r="X4" s="8" t="s">
        <v>107</v>
      </c>
      <c r="Y4" s="8" t="s">
        <v>94</v>
      </c>
      <c r="Z4">
        <v>101</v>
      </c>
      <c r="AA4">
        <v>2</v>
      </c>
    </row>
    <row r="5" spans="1:27">
      <c r="A5" s="7" t="s">
        <v>366</v>
      </c>
      <c r="B5" s="17" t="s">
        <v>112</v>
      </c>
      <c r="C5" s="18">
        <v>46090</v>
      </c>
      <c r="D5" s="17" t="s">
        <v>80</v>
      </c>
      <c r="E5" s="17" t="s">
        <v>113</v>
      </c>
      <c r="F5" s="17" t="s">
        <v>100</v>
      </c>
      <c r="G5" s="17">
        <v>24.13</v>
      </c>
      <c r="H5" s="17" t="s">
        <v>91</v>
      </c>
      <c r="I5" s="18">
        <v>46080</v>
      </c>
      <c r="J5" s="18">
        <v>46108</v>
      </c>
      <c r="K5" s="17"/>
      <c r="L5" s="17" t="s">
        <v>103</v>
      </c>
      <c r="M5" s="17" t="s">
        <v>86</v>
      </c>
      <c r="N5" s="17" t="s">
        <v>86</v>
      </c>
      <c r="O5" s="17" t="s">
        <v>87</v>
      </c>
      <c r="P5" s="17" t="s">
        <v>104</v>
      </c>
      <c r="Q5" s="17" t="s">
        <v>105</v>
      </c>
      <c r="R5" s="17" t="s">
        <v>106</v>
      </c>
      <c r="S5" s="17" t="s">
        <v>86</v>
      </c>
      <c r="T5" s="17" t="s">
        <v>86</v>
      </c>
      <c r="U5" s="17" t="s">
        <v>87</v>
      </c>
      <c r="V5" s="17" t="s">
        <v>91</v>
      </c>
      <c r="W5" s="17" t="s">
        <v>92</v>
      </c>
      <c r="X5" s="17" t="s">
        <v>107</v>
      </c>
      <c r="Y5" s="17" t="s">
        <v>94</v>
      </c>
      <c r="Z5">
        <v>101</v>
      </c>
      <c r="AA5">
        <v>3</v>
      </c>
    </row>
    <row r="6" spans="1:27">
      <c r="A6" s="7" t="s">
        <v>367</v>
      </c>
      <c r="B6" s="8" t="s">
        <v>115</v>
      </c>
      <c r="C6" s="9">
        <v>46090</v>
      </c>
      <c r="D6" s="8" t="s">
        <v>80</v>
      </c>
      <c r="E6" s="8" t="s">
        <v>116</v>
      </c>
      <c r="F6" s="8" t="s">
        <v>100</v>
      </c>
      <c r="G6" s="8">
        <v>27.58</v>
      </c>
      <c r="H6" s="8" t="s">
        <v>91</v>
      </c>
      <c r="I6" s="9">
        <v>46080</v>
      </c>
      <c r="J6" s="9">
        <v>46108</v>
      </c>
      <c r="K6" s="8"/>
      <c r="L6" s="8" t="s">
        <v>103</v>
      </c>
      <c r="M6" s="8" t="s">
        <v>86</v>
      </c>
      <c r="N6" s="8" t="s">
        <v>86</v>
      </c>
      <c r="O6" s="8" t="s">
        <v>87</v>
      </c>
      <c r="P6" s="8" t="s">
        <v>104</v>
      </c>
      <c r="Q6" s="8" t="s">
        <v>105</v>
      </c>
      <c r="R6" s="8" t="s">
        <v>106</v>
      </c>
      <c r="S6" s="8" t="s">
        <v>86</v>
      </c>
      <c r="T6" s="8" t="s">
        <v>86</v>
      </c>
      <c r="U6" s="8" t="s">
        <v>87</v>
      </c>
      <c r="V6" s="8" t="s">
        <v>91</v>
      </c>
      <c r="W6" s="8" t="s">
        <v>92</v>
      </c>
      <c r="X6" s="8" t="s">
        <v>107</v>
      </c>
      <c r="Y6" s="8" t="s">
        <v>94</v>
      </c>
      <c r="Z6">
        <v>101</v>
      </c>
      <c r="AA6">
        <v>3</v>
      </c>
    </row>
    <row r="7" spans="1:27">
      <c r="A7" s="7" t="s">
        <v>368</v>
      </c>
      <c r="B7" s="17" t="s">
        <v>118</v>
      </c>
      <c r="C7" s="18">
        <v>46090</v>
      </c>
      <c r="D7" s="17" t="s">
        <v>80</v>
      </c>
      <c r="E7" s="17" t="s">
        <v>119</v>
      </c>
      <c r="F7" s="17" t="s">
        <v>100</v>
      </c>
      <c r="G7" s="17">
        <v>27.58</v>
      </c>
      <c r="H7" s="17" t="s">
        <v>91</v>
      </c>
      <c r="I7" s="18">
        <v>46081</v>
      </c>
      <c r="J7" s="18">
        <v>46109</v>
      </c>
      <c r="K7" s="17"/>
      <c r="L7" s="17" t="s">
        <v>103</v>
      </c>
      <c r="M7" s="17" t="s">
        <v>86</v>
      </c>
      <c r="N7" s="17" t="s">
        <v>86</v>
      </c>
      <c r="O7" s="17" t="s">
        <v>87</v>
      </c>
      <c r="P7" s="17" t="s">
        <v>104</v>
      </c>
      <c r="Q7" s="17" t="s">
        <v>105</v>
      </c>
      <c r="R7" s="17" t="s">
        <v>106</v>
      </c>
      <c r="S7" s="17" t="s">
        <v>86</v>
      </c>
      <c r="T7" s="17" t="s">
        <v>86</v>
      </c>
      <c r="U7" s="17" t="s">
        <v>87</v>
      </c>
      <c r="V7" s="17" t="s">
        <v>91</v>
      </c>
      <c r="W7" s="17" t="s">
        <v>92</v>
      </c>
      <c r="X7" s="17" t="s">
        <v>107</v>
      </c>
      <c r="Y7" s="17" t="s">
        <v>94</v>
      </c>
      <c r="Z7">
        <v>101</v>
      </c>
      <c r="AA7">
        <v>1</v>
      </c>
    </row>
    <row r="8" spans="1:27">
      <c r="A8" s="7" t="s">
        <v>369</v>
      </c>
      <c r="B8" s="8" t="s">
        <v>123</v>
      </c>
      <c r="C8" s="9">
        <v>46104</v>
      </c>
      <c r="D8" s="8" t="s">
        <v>80</v>
      </c>
      <c r="E8" s="8" t="s">
        <v>218</v>
      </c>
      <c r="F8" s="8" t="s">
        <v>125</v>
      </c>
      <c r="G8" s="8">
        <v>28</v>
      </c>
      <c r="H8" s="8" t="s">
        <v>126</v>
      </c>
      <c r="I8" s="9">
        <v>46097</v>
      </c>
      <c r="J8" s="9">
        <v>46104</v>
      </c>
      <c r="K8" s="8"/>
      <c r="L8" s="8" t="s">
        <v>85</v>
      </c>
      <c r="M8" s="8" t="s">
        <v>86</v>
      </c>
      <c r="N8" s="8" t="s">
        <v>86</v>
      </c>
      <c r="O8" s="8" t="s">
        <v>87</v>
      </c>
      <c r="P8" s="8" t="s">
        <v>88</v>
      </c>
      <c r="Q8" s="8" t="s">
        <v>89</v>
      </c>
      <c r="R8" s="8" t="s">
        <v>90</v>
      </c>
      <c r="S8" s="8" t="s">
        <v>86</v>
      </c>
      <c r="T8" s="8" t="s">
        <v>86</v>
      </c>
      <c r="U8" s="8" t="s">
        <v>87</v>
      </c>
      <c r="V8" s="8" t="s">
        <v>91</v>
      </c>
      <c r="W8" s="8" t="s">
        <v>92</v>
      </c>
      <c r="X8" s="8" t="s">
        <v>93</v>
      </c>
      <c r="Y8" s="8" t="s">
        <v>94</v>
      </c>
      <c r="Z8">
        <v>101</v>
      </c>
      <c r="AA8">
        <v>2</v>
      </c>
    </row>
    <row r="9" spans="1:27">
      <c r="A9" s="7" t="s">
        <v>370</v>
      </c>
      <c r="B9" s="17" t="s">
        <v>129</v>
      </c>
      <c r="C9" s="18">
        <v>46106</v>
      </c>
      <c r="D9" s="17" t="s">
        <v>80</v>
      </c>
      <c r="E9" s="17" t="s">
        <v>131</v>
      </c>
      <c r="F9" s="17" t="s">
        <v>100</v>
      </c>
      <c r="G9" s="17">
        <v>27.58</v>
      </c>
      <c r="H9" s="17" t="s">
        <v>91</v>
      </c>
      <c r="I9" s="18">
        <v>46079</v>
      </c>
      <c r="J9" s="18">
        <v>46107</v>
      </c>
      <c r="K9" s="17"/>
      <c r="L9" s="17" t="s">
        <v>103</v>
      </c>
      <c r="M9" s="17" t="s">
        <v>86</v>
      </c>
      <c r="N9" s="17" t="s">
        <v>86</v>
      </c>
      <c r="O9" s="17" t="s">
        <v>87</v>
      </c>
      <c r="P9" s="17" t="s">
        <v>104</v>
      </c>
      <c r="Q9" s="17" t="s">
        <v>105</v>
      </c>
      <c r="R9" s="17" t="s">
        <v>106</v>
      </c>
      <c r="S9" s="17" t="s">
        <v>86</v>
      </c>
      <c r="T9" s="17" t="s">
        <v>86</v>
      </c>
      <c r="U9" s="17" t="s">
        <v>87</v>
      </c>
      <c r="V9" s="17" t="s">
        <v>91</v>
      </c>
      <c r="W9" s="17" t="s">
        <v>92</v>
      </c>
      <c r="X9" s="17" t="s">
        <v>107</v>
      </c>
      <c r="Y9" s="17" t="s">
        <v>94</v>
      </c>
      <c r="Z9">
        <v>151</v>
      </c>
      <c r="AA9">
        <v>1</v>
      </c>
    </row>
  </sheetData>
  <phoneticPr fontId="20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9"/>
  <sheetViews>
    <sheetView topLeftCell="AO1" workbookViewId="0">
      <selection activeCell="Q12" sqref="Q12:AE12"/>
    </sheetView>
  </sheetViews>
  <sheetFormatPr baseColWidth="10" defaultColWidth="8.88671875" defaultRowHeight="14.4"/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t="s">
        <v>77</v>
      </c>
      <c r="B2" t="s">
        <v>78</v>
      </c>
      <c r="C2" t="s">
        <v>79</v>
      </c>
      <c r="D2" t="s">
        <v>80</v>
      </c>
      <c r="E2">
        <v>54</v>
      </c>
      <c r="F2" t="s">
        <v>81</v>
      </c>
      <c r="G2">
        <v>28</v>
      </c>
      <c r="H2" t="s">
        <v>82</v>
      </c>
      <c r="I2" t="s">
        <v>83</v>
      </c>
      <c r="J2" t="s">
        <v>84</v>
      </c>
      <c r="L2" t="s">
        <v>85</v>
      </c>
      <c r="M2" t="s">
        <v>86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86</v>
      </c>
      <c r="T2" t="s">
        <v>86</v>
      </c>
      <c r="U2" t="s">
        <v>87</v>
      </c>
      <c r="V2" t="s">
        <v>91</v>
      </c>
      <c r="W2" t="s">
        <v>92</v>
      </c>
      <c r="X2">
        <v>100.1</v>
      </c>
      <c r="Y2">
        <v>100.24</v>
      </c>
      <c r="Z2">
        <v>200.98</v>
      </c>
      <c r="AA2">
        <v>200.16</v>
      </c>
      <c r="AB2">
        <v>200.7</v>
      </c>
      <c r="AC2">
        <v>3500</v>
      </c>
      <c r="AD2">
        <v>352.4</v>
      </c>
      <c r="AE2">
        <v>4</v>
      </c>
      <c r="AF2">
        <v>100.18</v>
      </c>
      <c r="AG2">
        <v>100.8</v>
      </c>
      <c r="AH2">
        <v>200.34</v>
      </c>
      <c r="AI2">
        <v>200.76</v>
      </c>
      <c r="AJ2">
        <v>200.14</v>
      </c>
      <c r="AK2">
        <v>3472</v>
      </c>
      <c r="AL2">
        <v>371</v>
      </c>
      <c r="AM2">
        <v>5</v>
      </c>
      <c r="AN2">
        <v>100.1</v>
      </c>
      <c r="AO2">
        <v>100.9</v>
      </c>
      <c r="AP2">
        <v>200.36</v>
      </c>
      <c r="AQ2">
        <v>200.18</v>
      </c>
      <c r="AR2">
        <v>200.94</v>
      </c>
      <c r="AS2">
        <v>3592</v>
      </c>
      <c r="AT2">
        <v>365.9</v>
      </c>
      <c r="AU2">
        <v>5</v>
      </c>
      <c r="AV2" t="s">
        <v>93</v>
      </c>
      <c r="AW2" t="s">
        <v>94</v>
      </c>
      <c r="AX2" t="s">
        <v>95</v>
      </c>
      <c r="AZ2">
        <v>28</v>
      </c>
    </row>
    <row r="3" spans="1:77">
      <c r="A3" t="s">
        <v>96</v>
      </c>
      <c r="B3" t="s">
        <v>97</v>
      </c>
      <c r="C3" t="s">
        <v>98</v>
      </c>
      <c r="D3" t="s">
        <v>80</v>
      </c>
      <c r="E3" t="s">
        <v>99</v>
      </c>
      <c r="F3" t="s">
        <v>100</v>
      </c>
      <c r="G3">
        <v>27.58</v>
      </c>
      <c r="H3" t="s">
        <v>91</v>
      </c>
      <c r="I3" t="s">
        <v>101</v>
      </c>
      <c r="J3" t="s">
        <v>102</v>
      </c>
      <c r="L3" t="s">
        <v>103</v>
      </c>
      <c r="M3" t="s">
        <v>86</v>
      </c>
      <c r="N3" t="s">
        <v>86</v>
      </c>
      <c r="O3" t="s">
        <v>87</v>
      </c>
      <c r="P3" t="s">
        <v>104</v>
      </c>
      <c r="Q3" t="s">
        <v>105</v>
      </c>
      <c r="R3" t="s">
        <v>106</v>
      </c>
      <c r="S3" t="s">
        <v>86</v>
      </c>
      <c r="T3" t="s">
        <v>86</v>
      </c>
      <c r="U3" t="s">
        <v>87</v>
      </c>
      <c r="V3" t="s">
        <v>91</v>
      </c>
      <c r="W3" t="s">
        <v>92</v>
      </c>
      <c r="X3">
        <v>102.54</v>
      </c>
      <c r="Y3">
        <v>101.32</v>
      </c>
      <c r="Z3">
        <v>202.46</v>
      </c>
      <c r="AA3">
        <v>201.74</v>
      </c>
      <c r="AB3">
        <v>202.58</v>
      </c>
      <c r="AC3">
        <v>3654</v>
      </c>
      <c r="AD3">
        <v>301.3</v>
      </c>
      <c r="AE3">
        <v>4</v>
      </c>
      <c r="AF3">
        <v>101.46</v>
      </c>
      <c r="AG3">
        <v>102.42</v>
      </c>
      <c r="AH3">
        <v>201.48</v>
      </c>
      <c r="AI3">
        <v>202.48</v>
      </c>
      <c r="AJ3">
        <v>201.52</v>
      </c>
      <c r="AK3">
        <v>3655</v>
      </c>
      <c r="AL3">
        <v>292.89999999999998</v>
      </c>
      <c r="AM3">
        <v>4</v>
      </c>
      <c r="AN3">
        <v>102.56</v>
      </c>
      <c r="AO3">
        <v>101.74</v>
      </c>
      <c r="AP3">
        <v>202.58</v>
      </c>
      <c r="AQ3">
        <v>201.32</v>
      </c>
      <c r="AR3">
        <v>202.68</v>
      </c>
      <c r="AS3">
        <v>3676</v>
      </c>
      <c r="AT3">
        <v>308.5</v>
      </c>
      <c r="AU3">
        <v>4</v>
      </c>
      <c r="AV3" t="s">
        <v>107</v>
      </c>
      <c r="AW3" t="s">
        <v>94</v>
      </c>
      <c r="AX3" t="s">
        <v>95</v>
      </c>
      <c r="AZ3">
        <v>28</v>
      </c>
    </row>
    <row r="4" spans="1:77">
      <c r="A4" t="s">
        <v>108</v>
      </c>
      <c r="B4" t="s">
        <v>109</v>
      </c>
      <c r="C4" t="s">
        <v>98</v>
      </c>
      <c r="D4" t="s">
        <v>80</v>
      </c>
      <c r="E4" t="s">
        <v>110</v>
      </c>
      <c r="F4" t="s">
        <v>100</v>
      </c>
      <c r="G4">
        <v>27.58</v>
      </c>
      <c r="H4" t="s">
        <v>91</v>
      </c>
      <c r="I4" t="s">
        <v>101</v>
      </c>
      <c r="J4" t="s">
        <v>102</v>
      </c>
      <c r="L4" t="s">
        <v>103</v>
      </c>
      <c r="M4" t="s">
        <v>86</v>
      </c>
      <c r="N4" t="s">
        <v>86</v>
      </c>
      <c r="O4" t="s">
        <v>87</v>
      </c>
      <c r="P4" t="s">
        <v>104</v>
      </c>
      <c r="Q4" t="s">
        <v>105</v>
      </c>
      <c r="R4" t="s">
        <v>106</v>
      </c>
      <c r="S4" t="s">
        <v>86</v>
      </c>
      <c r="T4" t="s">
        <v>86</v>
      </c>
      <c r="U4" t="s">
        <v>87</v>
      </c>
      <c r="V4" t="s">
        <v>91</v>
      </c>
      <c r="W4" t="s">
        <v>92</v>
      </c>
      <c r="X4">
        <v>101.56</v>
      </c>
      <c r="Y4">
        <v>102.48</v>
      </c>
      <c r="Z4">
        <v>201.76</v>
      </c>
      <c r="AA4">
        <v>202.54</v>
      </c>
      <c r="AB4">
        <v>201.62</v>
      </c>
      <c r="AC4">
        <v>3548</v>
      </c>
      <c r="AD4">
        <v>368.9</v>
      </c>
      <c r="AE4">
        <v>2</v>
      </c>
      <c r="AF4">
        <v>102.76</v>
      </c>
      <c r="AG4">
        <v>101.32</v>
      </c>
      <c r="AH4">
        <v>202.42</v>
      </c>
      <c r="AI4">
        <v>201.68</v>
      </c>
      <c r="AJ4">
        <v>202.42</v>
      </c>
      <c r="AK4">
        <v>3659</v>
      </c>
      <c r="AL4">
        <v>345.8</v>
      </c>
      <c r="AM4">
        <v>2</v>
      </c>
      <c r="AN4">
        <v>101.54</v>
      </c>
      <c r="AO4">
        <v>102.68</v>
      </c>
      <c r="AP4">
        <v>201.32</v>
      </c>
      <c r="AQ4">
        <v>202.44</v>
      </c>
      <c r="AR4">
        <v>201.78</v>
      </c>
      <c r="AS4">
        <v>3578</v>
      </c>
      <c r="AU4">
        <v>2</v>
      </c>
      <c r="AV4" t="s">
        <v>107</v>
      </c>
      <c r="AW4" t="s">
        <v>94</v>
      </c>
      <c r="AX4" t="s">
        <v>95</v>
      </c>
      <c r="AZ4">
        <v>28</v>
      </c>
    </row>
    <row r="5" spans="1:77">
      <c r="A5" t="s">
        <v>111</v>
      </c>
      <c r="B5" t="s">
        <v>112</v>
      </c>
      <c r="C5" t="s">
        <v>98</v>
      </c>
      <c r="D5" t="s">
        <v>80</v>
      </c>
      <c r="E5" t="s">
        <v>113</v>
      </c>
      <c r="F5" t="s">
        <v>100</v>
      </c>
      <c r="G5">
        <v>24.13</v>
      </c>
      <c r="H5" t="s">
        <v>91</v>
      </c>
      <c r="I5" t="s">
        <v>101</v>
      </c>
      <c r="J5" t="s">
        <v>102</v>
      </c>
      <c r="L5" t="s">
        <v>103</v>
      </c>
      <c r="M5" t="s">
        <v>86</v>
      </c>
      <c r="N5" t="s">
        <v>86</v>
      </c>
      <c r="O5" t="s">
        <v>87</v>
      </c>
      <c r="P5" t="s">
        <v>104</v>
      </c>
      <c r="Q5" t="s">
        <v>105</v>
      </c>
      <c r="R5" t="s">
        <v>106</v>
      </c>
      <c r="S5" t="s">
        <v>86</v>
      </c>
      <c r="T5" t="s">
        <v>86</v>
      </c>
      <c r="U5" t="s">
        <v>87</v>
      </c>
      <c r="V5" t="s">
        <v>91</v>
      </c>
      <c r="W5" t="s">
        <v>92</v>
      </c>
      <c r="X5">
        <v>101.32</v>
      </c>
      <c r="Y5">
        <v>102.54</v>
      </c>
      <c r="Z5">
        <v>201.68</v>
      </c>
      <c r="AA5">
        <v>202.42</v>
      </c>
      <c r="AB5">
        <v>201.68</v>
      </c>
      <c r="AC5">
        <v>3567</v>
      </c>
      <c r="AD5">
        <v>380.5</v>
      </c>
      <c r="AE5">
        <v>2</v>
      </c>
      <c r="AF5">
        <v>102.68</v>
      </c>
      <c r="AG5">
        <v>101.32</v>
      </c>
      <c r="AH5">
        <v>202.44</v>
      </c>
      <c r="AI5">
        <v>201.68</v>
      </c>
      <c r="AJ5">
        <v>202.32</v>
      </c>
      <c r="AK5">
        <v>3567</v>
      </c>
      <c r="AL5">
        <v>347.9</v>
      </c>
      <c r="AM5">
        <v>2</v>
      </c>
      <c r="AN5">
        <v>101.56</v>
      </c>
      <c r="AO5">
        <v>102.74</v>
      </c>
      <c r="AP5">
        <v>201.68</v>
      </c>
      <c r="AQ5">
        <v>202.42</v>
      </c>
      <c r="AR5">
        <v>201.56</v>
      </c>
      <c r="AS5">
        <v>3675</v>
      </c>
      <c r="AT5">
        <v>398</v>
      </c>
      <c r="AU5">
        <v>2</v>
      </c>
      <c r="AV5" t="s">
        <v>107</v>
      </c>
      <c r="AW5" t="s">
        <v>94</v>
      </c>
      <c r="AX5" t="s">
        <v>95</v>
      </c>
      <c r="AZ5">
        <v>28</v>
      </c>
    </row>
    <row r="6" spans="1:77">
      <c r="A6" t="s">
        <v>114</v>
      </c>
      <c r="B6" t="s">
        <v>115</v>
      </c>
      <c r="C6" t="s">
        <v>98</v>
      </c>
      <c r="D6" t="s">
        <v>80</v>
      </c>
      <c r="E6" t="s">
        <v>116</v>
      </c>
      <c r="F6" t="s">
        <v>100</v>
      </c>
      <c r="G6">
        <v>27.58</v>
      </c>
      <c r="H6" t="s">
        <v>91</v>
      </c>
      <c r="I6" t="s">
        <v>101</v>
      </c>
      <c r="J6" t="s">
        <v>102</v>
      </c>
      <c r="L6" t="s">
        <v>103</v>
      </c>
      <c r="M6" t="s">
        <v>86</v>
      </c>
      <c r="N6" t="s">
        <v>86</v>
      </c>
      <c r="O6" t="s">
        <v>87</v>
      </c>
      <c r="P6" t="s">
        <v>104</v>
      </c>
      <c r="Q6" t="s">
        <v>105</v>
      </c>
      <c r="R6" t="s">
        <v>106</v>
      </c>
      <c r="S6" t="s">
        <v>86</v>
      </c>
      <c r="T6" t="s">
        <v>86</v>
      </c>
      <c r="U6" t="s">
        <v>87</v>
      </c>
      <c r="V6" t="s">
        <v>91</v>
      </c>
      <c r="W6" t="s">
        <v>92</v>
      </c>
      <c r="X6">
        <v>101.46</v>
      </c>
      <c r="Y6">
        <v>102.68</v>
      </c>
      <c r="Z6">
        <v>201.66</v>
      </c>
      <c r="AA6">
        <v>202.48</v>
      </c>
      <c r="AB6">
        <v>201.32</v>
      </c>
      <c r="AC6">
        <v>3465</v>
      </c>
      <c r="AD6">
        <v>326.8</v>
      </c>
      <c r="AE6">
        <v>2</v>
      </c>
      <c r="AF6">
        <v>102.64</v>
      </c>
      <c r="AG6">
        <v>101.56</v>
      </c>
      <c r="AH6">
        <v>202.32</v>
      </c>
      <c r="AI6">
        <v>201.44</v>
      </c>
      <c r="AJ6">
        <v>202.32</v>
      </c>
      <c r="AK6">
        <v>3564</v>
      </c>
      <c r="AL6">
        <v>356.4</v>
      </c>
      <c r="AM6">
        <v>2</v>
      </c>
      <c r="AN6">
        <v>101.42</v>
      </c>
      <c r="AO6">
        <v>102.36</v>
      </c>
      <c r="AP6">
        <v>201.78</v>
      </c>
      <c r="AQ6">
        <v>202.66</v>
      </c>
      <c r="AR6">
        <v>201.78</v>
      </c>
      <c r="AS6">
        <v>3653</v>
      </c>
      <c r="AT6">
        <v>321.89999999999998</v>
      </c>
      <c r="AU6">
        <v>2</v>
      </c>
      <c r="AV6" t="s">
        <v>107</v>
      </c>
      <c r="AW6" t="s">
        <v>94</v>
      </c>
      <c r="AX6" t="s">
        <v>95</v>
      </c>
      <c r="AZ6">
        <v>28</v>
      </c>
    </row>
    <row r="7" spans="1:77">
      <c r="A7" t="s">
        <v>117</v>
      </c>
      <c r="B7" t="s">
        <v>118</v>
      </c>
      <c r="C7" t="s">
        <v>98</v>
      </c>
      <c r="D7" t="s">
        <v>80</v>
      </c>
      <c r="E7" t="s">
        <v>119</v>
      </c>
      <c r="F7" t="s">
        <v>100</v>
      </c>
      <c r="G7">
        <v>27.58</v>
      </c>
      <c r="H7" t="s">
        <v>91</v>
      </c>
      <c r="I7" t="s">
        <v>120</v>
      </c>
      <c r="J7" t="s">
        <v>121</v>
      </c>
      <c r="L7" t="s">
        <v>103</v>
      </c>
      <c r="M7" t="s">
        <v>86</v>
      </c>
      <c r="N7" t="s">
        <v>86</v>
      </c>
      <c r="O7" t="s">
        <v>87</v>
      </c>
      <c r="P7" t="s">
        <v>104</v>
      </c>
      <c r="Q7" t="s">
        <v>105</v>
      </c>
      <c r="R7" t="s">
        <v>106</v>
      </c>
      <c r="S7" t="s">
        <v>86</v>
      </c>
      <c r="T7" t="s">
        <v>86</v>
      </c>
      <c r="U7" t="s">
        <v>87</v>
      </c>
      <c r="V7" t="s">
        <v>91</v>
      </c>
      <c r="W7" t="s">
        <v>92</v>
      </c>
      <c r="X7">
        <v>100.9</v>
      </c>
      <c r="Y7">
        <v>100.76</v>
      </c>
      <c r="Z7">
        <v>200.98</v>
      </c>
      <c r="AA7">
        <v>200.54</v>
      </c>
      <c r="AB7">
        <v>200.1</v>
      </c>
      <c r="AC7">
        <v>3500</v>
      </c>
      <c r="AD7">
        <v>186.8</v>
      </c>
      <c r="AE7">
        <v>5</v>
      </c>
      <c r="AF7">
        <v>100.98</v>
      </c>
      <c r="AG7">
        <v>100.6</v>
      </c>
      <c r="AH7">
        <v>200.7</v>
      </c>
      <c r="AI7">
        <v>200.68</v>
      </c>
      <c r="AJ7">
        <v>200.92</v>
      </c>
      <c r="AK7">
        <v>3478</v>
      </c>
      <c r="AL7">
        <v>183.9</v>
      </c>
      <c r="AM7">
        <v>4</v>
      </c>
      <c r="AN7">
        <v>100.8</v>
      </c>
      <c r="AO7">
        <v>100.6</v>
      </c>
      <c r="AP7">
        <v>200.6</v>
      </c>
      <c r="AQ7">
        <v>200.7</v>
      </c>
      <c r="AR7">
        <v>200.14</v>
      </c>
      <c r="AS7">
        <v>3500</v>
      </c>
      <c r="AT7">
        <v>174.8</v>
      </c>
      <c r="AU7">
        <v>5</v>
      </c>
      <c r="AV7" t="s">
        <v>107</v>
      </c>
      <c r="AW7" t="s">
        <v>94</v>
      </c>
      <c r="AX7" t="s">
        <v>95</v>
      </c>
      <c r="AZ7">
        <v>28</v>
      </c>
    </row>
    <row r="8" spans="1:77">
      <c r="A8" t="s">
        <v>122</v>
      </c>
      <c r="B8" t="s">
        <v>123</v>
      </c>
      <c r="C8" t="s">
        <v>124</v>
      </c>
      <c r="D8" t="s">
        <v>80</v>
      </c>
      <c r="E8">
        <v>62</v>
      </c>
      <c r="F8" t="s">
        <v>125</v>
      </c>
      <c r="G8">
        <v>28</v>
      </c>
      <c r="H8" t="s">
        <v>126</v>
      </c>
      <c r="I8" t="s">
        <v>127</v>
      </c>
      <c r="J8" t="s">
        <v>124</v>
      </c>
      <c r="L8" t="s">
        <v>85</v>
      </c>
      <c r="M8" t="s">
        <v>86</v>
      </c>
      <c r="N8" t="s">
        <v>86</v>
      </c>
      <c r="O8" t="s">
        <v>87</v>
      </c>
      <c r="P8" t="s">
        <v>88</v>
      </c>
      <c r="Q8" t="s">
        <v>89</v>
      </c>
      <c r="R8" t="s">
        <v>90</v>
      </c>
      <c r="S8" t="s">
        <v>86</v>
      </c>
      <c r="T8" t="s">
        <v>86</v>
      </c>
      <c r="U8" t="s">
        <v>87</v>
      </c>
      <c r="V8" t="s">
        <v>91</v>
      </c>
      <c r="W8" t="s">
        <v>92</v>
      </c>
      <c r="X8">
        <v>101.56</v>
      </c>
      <c r="Y8">
        <v>102.72</v>
      </c>
      <c r="Z8">
        <v>201.36</v>
      </c>
      <c r="AA8">
        <v>202.54</v>
      </c>
      <c r="AB8">
        <v>201.66</v>
      </c>
      <c r="AC8">
        <v>3655</v>
      </c>
      <c r="AD8">
        <v>209.4</v>
      </c>
      <c r="AE8">
        <v>2</v>
      </c>
      <c r="AF8">
        <v>102.48</v>
      </c>
      <c r="AG8">
        <v>101.36</v>
      </c>
      <c r="AH8">
        <v>201.52</v>
      </c>
      <c r="AI8">
        <v>202.36</v>
      </c>
      <c r="AJ8">
        <v>201.74</v>
      </c>
      <c r="AK8">
        <v>3655</v>
      </c>
      <c r="AL8">
        <v>216.9</v>
      </c>
      <c r="AM8">
        <v>2</v>
      </c>
      <c r="AN8">
        <v>101.66</v>
      </c>
      <c r="AO8">
        <v>102.42</v>
      </c>
      <c r="AP8">
        <v>201.34</v>
      </c>
      <c r="AQ8">
        <v>202.62</v>
      </c>
      <c r="AR8">
        <v>201.46</v>
      </c>
      <c r="AS8">
        <v>3548</v>
      </c>
      <c r="AT8">
        <v>220.7</v>
      </c>
      <c r="AU8">
        <v>2</v>
      </c>
      <c r="AV8" t="s">
        <v>93</v>
      </c>
      <c r="AW8" t="s">
        <v>94</v>
      </c>
      <c r="AX8" t="s">
        <v>95</v>
      </c>
      <c r="AZ8">
        <v>7</v>
      </c>
    </row>
    <row r="9" spans="1:77">
      <c r="A9" t="s">
        <v>128</v>
      </c>
      <c r="B9" t="s">
        <v>129</v>
      </c>
      <c r="C9" t="s">
        <v>130</v>
      </c>
      <c r="D9" t="s">
        <v>80</v>
      </c>
      <c r="E9" t="s">
        <v>131</v>
      </c>
      <c r="F9" t="s">
        <v>100</v>
      </c>
      <c r="G9">
        <v>27.58</v>
      </c>
      <c r="H9" t="s">
        <v>91</v>
      </c>
      <c r="I9" t="s">
        <v>132</v>
      </c>
      <c r="J9" t="s">
        <v>133</v>
      </c>
      <c r="L9" t="s">
        <v>103</v>
      </c>
      <c r="M9" t="s">
        <v>86</v>
      </c>
      <c r="N9" t="s">
        <v>86</v>
      </c>
      <c r="O9" t="s">
        <v>87</v>
      </c>
      <c r="P9" t="s">
        <v>104</v>
      </c>
      <c r="Q9" t="s">
        <v>105</v>
      </c>
      <c r="R9" t="s">
        <v>106</v>
      </c>
      <c r="S9" t="s">
        <v>86</v>
      </c>
      <c r="T9" t="s">
        <v>86</v>
      </c>
      <c r="U9" t="s">
        <v>87</v>
      </c>
      <c r="V9" t="s">
        <v>91</v>
      </c>
      <c r="W9" t="s">
        <v>92</v>
      </c>
      <c r="X9">
        <v>102.46</v>
      </c>
      <c r="Y9">
        <v>101.38</v>
      </c>
      <c r="Z9">
        <v>202.76</v>
      </c>
      <c r="AA9">
        <v>201.34</v>
      </c>
      <c r="AB9">
        <v>202.56</v>
      </c>
      <c r="AC9">
        <v>3547</v>
      </c>
      <c r="AD9">
        <v>333.8</v>
      </c>
      <c r="AE9">
        <v>2</v>
      </c>
      <c r="AV9" t="s">
        <v>107</v>
      </c>
      <c r="AW9" t="s">
        <v>94</v>
      </c>
      <c r="AX9" t="s">
        <v>95</v>
      </c>
      <c r="AZ9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C49D2-1F9F-4B5A-BEDA-D6686B2B871A}">
  <sheetPr codeName="Hoja4">
    <tabColor rgb="FFFF0000"/>
    <pageSetUpPr fitToPage="1"/>
  </sheetPr>
  <dimension ref="A1:BY121"/>
  <sheetViews>
    <sheetView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0" customWidth="1"/>
    <col min="21" max="23" width="3.6640625" style="20" customWidth="1"/>
    <col min="24" max="32" width="3" style="20" customWidth="1"/>
    <col min="33" max="33" width="7.44140625" style="20" customWidth="1"/>
    <col min="34" max="34" width="9.33203125" style="20" customWidth="1"/>
    <col min="35" max="42" width="3" style="20" customWidth="1"/>
    <col min="43" max="44" width="12" style="20" customWidth="1"/>
    <col min="45" max="73" width="3" style="20" customWidth="1"/>
    <col min="74" max="74" width="25.88671875" style="20" customWidth="1"/>
    <col min="75" max="75" width="12.109375" style="20" customWidth="1"/>
    <col min="76" max="76" width="3" style="20" customWidth="1"/>
    <col min="77" max="77" width="26.88671875" style="20" customWidth="1"/>
    <col min="78" max="217" width="3" style="20" customWidth="1"/>
    <col min="218" max="221" width="3.33203125" style="20" customWidth="1"/>
    <col min="222" max="16384" width="11.33203125" style="20"/>
  </cols>
  <sheetData>
    <row r="1" spans="1:77">
      <c r="A1" s="47" t="s">
        <v>235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I1" s="48" t="s">
        <v>236</v>
      </c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V1" s="21">
        <v>39852</v>
      </c>
      <c r="BW1" s="21" t="s">
        <v>237</v>
      </c>
      <c r="BY1" s="21" t="s">
        <v>238</v>
      </c>
    </row>
    <row r="2" spans="1:77" ht="8.4" customHeight="1">
      <c r="BV2" s="21">
        <f>+_xlfn.NUMBERVALUE(BV1)</f>
        <v>39852</v>
      </c>
      <c r="BW2" s="22">
        <f ca="1">+TODAY()</f>
        <v>46116</v>
      </c>
      <c r="BY2" s="21" t="str">
        <f>+TEXT(BY1,"0000000")</f>
        <v>0073365</v>
      </c>
    </row>
    <row r="3" spans="1:77">
      <c r="A3" s="49" t="s">
        <v>239</v>
      </c>
      <c r="B3" s="50"/>
      <c r="C3" s="50"/>
      <c r="D3" s="51" t="str">
        <f ca="1">+BW4</f>
        <v>ID-0074045-2026</v>
      </c>
      <c r="E3" s="52"/>
      <c r="F3" s="52"/>
      <c r="G3" s="52"/>
      <c r="H3" s="52"/>
      <c r="I3" s="23" t="s">
        <v>240</v>
      </c>
      <c r="J3" s="24">
        <v>1</v>
      </c>
      <c r="K3" s="53" t="s">
        <v>241</v>
      </c>
      <c r="L3" s="54"/>
      <c r="M3" s="54"/>
      <c r="N3" s="54"/>
      <c r="O3" s="54"/>
      <c r="P3" s="55"/>
      <c r="Q3" s="52" t="s">
        <v>242</v>
      </c>
      <c r="R3" s="52"/>
      <c r="S3" s="52"/>
      <c r="T3" s="52"/>
      <c r="U3" s="56"/>
      <c r="V3" s="53" t="s">
        <v>243</v>
      </c>
      <c r="W3" s="54"/>
      <c r="X3" s="54"/>
      <c r="Y3" s="54"/>
      <c r="Z3" s="54"/>
      <c r="AA3" s="55"/>
      <c r="AB3" s="57" t="s">
        <v>244</v>
      </c>
      <c r="AC3" s="57"/>
      <c r="AD3" s="57"/>
      <c r="AE3" s="57"/>
      <c r="AF3" s="57"/>
      <c r="AI3" s="49" t="s">
        <v>239</v>
      </c>
      <c r="AJ3" s="50"/>
      <c r="AK3" s="50"/>
      <c r="AL3" s="58" t="s">
        <v>245</v>
      </c>
      <c r="AM3" s="59"/>
      <c r="AN3" s="59"/>
      <c r="AO3" s="59"/>
      <c r="AP3" s="59"/>
      <c r="AQ3" s="23" t="s">
        <v>240</v>
      </c>
      <c r="AR3" s="25">
        <v>1</v>
      </c>
      <c r="AS3" s="53" t="s">
        <v>241</v>
      </c>
      <c r="AT3" s="54"/>
      <c r="AU3" s="54"/>
      <c r="AV3" s="54"/>
      <c r="AW3" s="54"/>
      <c r="AX3" s="55"/>
      <c r="AY3" s="59" t="s">
        <v>246</v>
      </c>
      <c r="AZ3" s="59"/>
      <c r="BA3" s="59"/>
      <c r="BB3" s="59"/>
      <c r="BC3" s="60"/>
      <c r="BD3" s="53" t="s">
        <v>243</v>
      </c>
      <c r="BE3" s="54"/>
      <c r="BF3" s="54"/>
      <c r="BG3" s="54"/>
      <c r="BH3" s="54"/>
      <c r="BI3" s="55"/>
      <c r="BJ3" s="61" t="s">
        <v>244</v>
      </c>
      <c r="BK3" s="61"/>
      <c r="BL3" s="61"/>
      <c r="BM3" s="61"/>
      <c r="BN3" s="61"/>
      <c r="BV3" s="21"/>
      <c r="BW3" s="21">
        <f ca="1">+YEAR(BW2)</f>
        <v>2026</v>
      </c>
      <c r="BY3" s="21" t="s">
        <v>247</v>
      </c>
    </row>
    <row r="4" spans="1:77">
      <c r="A4" s="69" t="s">
        <v>248</v>
      </c>
      <c r="B4" s="69"/>
      <c r="C4" s="69"/>
      <c r="D4" s="70"/>
      <c r="E4" s="70"/>
      <c r="F4" s="70"/>
      <c r="G4" s="71">
        <v>46112</v>
      </c>
      <c r="H4" s="72"/>
      <c r="I4" s="72"/>
      <c r="J4" s="72"/>
      <c r="K4" s="53" t="s">
        <v>249</v>
      </c>
      <c r="L4" s="54"/>
      <c r="M4" s="54"/>
      <c r="N4" s="54"/>
      <c r="O4" s="54"/>
      <c r="P4" s="55"/>
      <c r="Q4" s="73">
        <v>46111</v>
      </c>
      <c r="R4" s="57"/>
      <c r="S4" s="57"/>
      <c r="T4" s="57"/>
      <c r="U4" s="57"/>
      <c r="V4" s="53" t="s">
        <v>250</v>
      </c>
      <c r="W4" s="54"/>
      <c r="X4" s="54"/>
      <c r="Y4" s="54"/>
      <c r="Z4" s="54"/>
      <c r="AA4" s="55"/>
      <c r="AB4" s="73">
        <v>46113</v>
      </c>
      <c r="AC4" s="74"/>
      <c r="AD4" s="74"/>
      <c r="AE4" s="74"/>
      <c r="AF4" s="74"/>
      <c r="AI4" s="75" t="s">
        <v>248</v>
      </c>
      <c r="AJ4" s="75"/>
      <c r="AK4" s="75"/>
      <c r="AL4" s="76"/>
      <c r="AM4" s="76"/>
      <c r="AN4" s="76"/>
      <c r="AO4" s="77" t="s">
        <v>251</v>
      </c>
      <c r="AP4" s="77"/>
      <c r="AQ4" s="77"/>
      <c r="AR4" s="77"/>
      <c r="AS4" s="53" t="s">
        <v>249</v>
      </c>
      <c r="AT4" s="54"/>
      <c r="AU4" s="54"/>
      <c r="AV4" s="54"/>
      <c r="AW4" s="54"/>
      <c r="AX4" s="55"/>
      <c r="AY4" s="61" t="s">
        <v>252</v>
      </c>
      <c r="AZ4" s="61"/>
      <c r="BA4" s="61"/>
      <c r="BB4" s="61"/>
      <c r="BC4" s="61"/>
      <c r="BD4" s="53" t="s">
        <v>250</v>
      </c>
      <c r="BE4" s="54"/>
      <c r="BF4" s="54"/>
      <c r="BG4" s="54"/>
      <c r="BH4" s="54"/>
      <c r="BI4" s="55"/>
      <c r="BJ4" s="61" t="s">
        <v>253</v>
      </c>
      <c r="BK4" s="61"/>
      <c r="BL4" s="61"/>
      <c r="BM4" s="61"/>
      <c r="BN4" s="61"/>
      <c r="BV4" s="21"/>
      <c r="BW4" s="21" t="str">
        <f ca="1">+CONCATENATE("ID-",MID(BW1,5,7),"-",BW3)</f>
        <v>ID-0074045-2026</v>
      </c>
      <c r="BY4" s="21" t="str">
        <f>BY3&amp;BY2</f>
        <v>ECD-0073365</v>
      </c>
    </row>
    <row r="5" spans="1:77">
      <c r="A5" s="62" t="s">
        <v>254</v>
      </c>
      <c r="B5" s="62"/>
      <c r="C5" s="62"/>
      <c r="D5" s="62"/>
      <c r="E5" s="62"/>
      <c r="F5" s="62"/>
      <c r="G5" s="63" t="s">
        <v>255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I5" s="62" t="s">
        <v>254</v>
      </c>
      <c r="AJ5" s="62"/>
      <c r="AK5" s="62"/>
      <c r="AL5" s="62"/>
      <c r="AM5" s="62"/>
      <c r="AN5" s="62"/>
      <c r="AO5" s="64" t="s">
        <v>256</v>
      </c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V5" s="21"/>
      <c r="BW5" s="21" t="str">
        <f ca="1">+CONCATENATE("-",BW3)</f>
        <v>-2026</v>
      </c>
    </row>
    <row r="6" spans="1:77">
      <c r="A6" s="65" t="s">
        <v>257</v>
      </c>
      <c r="B6" s="65"/>
      <c r="C6" s="65"/>
      <c r="D6" s="65"/>
      <c r="E6" s="65"/>
      <c r="F6" s="65"/>
      <c r="G6" s="66" t="s">
        <v>258</v>
      </c>
      <c r="H6" s="66"/>
      <c r="I6" s="66"/>
      <c r="J6" s="66"/>
      <c r="K6" s="66"/>
      <c r="L6" s="66"/>
      <c r="M6" s="66"/>
      <c r="N6" s="66"/>
      <c r="O6" s="67" t="s">
        <v>259</v>
      </c>
      <c r="P6" s="67"/>
      <c r="Q6" s="67"/>
      <c r="R6" s="66" t="s">
        <v>86</v>
      </c>
      <c r="S6" s="66"/>
      <c r="T6" s="66"/>
      <c r="U6" s="67" t="s">
        <v>260</v>
      </c>
      <c r="V6" s="67"/>
      <c r="W6" s="67"/>
      <c r="X6" s="66" t="s">
        <v>86</v>
      </c>
      <c r="Y6" s="66"/>
      <c r="Z6" s="66"/>
      <c r="AA6" s="67" t="s">
        <v>261</v>
      </c>
      <c r="AB6" s="67"/>
      <c r="AC6" s="67"/>
      <c r="AD6" s="66" t="s">
        <v>87</v>
      </c>
      <c r="AE6" s="66"/>
      <c r="AF6" s="66"/>
      <c r="AI6" s="65" t="s">
        <v>257</v>
      </c>
      <c r="AJ6" s="65"/>
      <c r="AK6" s="65"/>
      <c r="AL6" s="65"/>
      <c r="AM6" s="65"/>
      <c r="AN6" s="65"/>
      <c r="AO6" s="68" t="s">
        <v>262</v>
      </c>
      <c r="AP6" s="68"/>
      <c r="AQ6" s="68"/>
      <c r="AR6" s="68"/>
      <c r="AS6" s="68"/>
      <c r="AT6" s="68"/>
      <c r="AU6" s="68"/>
      <c r="AV6" s="68"/>
      <c r="AW6" s="67" t="s">
        <v>259</v>
      </c>
      <c r="AX6" s="67"/>
      <c r="AY6" s="67"/>
      <c r="AZ6" s="68" t="s">
        <v>263</v>
      </c>
      <c r="BA6" s="68"/>
      <c r="BB6" s="68"/>
      <c r="BC6" s="67" t="s">
        <v>260</v>
      </c>
      <c r="BD6" s="67"/>
      <c r="BE6" s="67"/>
      <c r="BF6" s="68" t="s">
        <v>264</v>
      </c>
      <c r="BG6" s="68"/>
      <c r="BH6" s="68"/>
      <c r="BI6" s="67" t="s">
        <v>261</v>
      </c>
      <c r="BJ6" s="67"/>
      <c r="BK6" s="67"/>
      <c r="BL6" s="68" t="s">
        <v>265</v>
      </c>
      <c r="BM6" s="68"/>
      <c r="BN6" s="68"/>
      <c r="BV6" s="21"/>
      <c r="BW6" s="21"/>
    </row>
    <row r="7" spans="1:77">
      <c r="A7" s="65" t="s">
        <v>266</v>
      </c>
      <c r="B7" s="65"/>
      <c r="C7" s="65"/>
      <c r="D7" s="65"/>
      <c r="E7" s="65"/>
      <c r="F7" s="65"/>
      <c r="G7" s="66" t="s">
        <v>267</v>
      </c>
      <c r="H7" s="66"/>
      <c r="I7" s="66"/>
      <c r="J7" s="66"/>
      <c r="K7" s="67" t="s">
        <v>268</v>
      </c>
      <c r="L7" s="67"/>
      <c r="M7" s="67"/>
      <c r="N7" s="78" t="s">
        <v>269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I7" s="65" t="s">
        <v>266</v>
      </c>
      <c r="AJ7" s="65"/>
      <c r="AK7" s="65"/>
      <c r="AL7" s="65"/>
      <c r="AM7" s="65"/>
      <c r="AN7" s="65"/>
      <c r="AO7" s="68" t="s">
        <v>240</v>
      </c>
      <c r="AP7" s="68"/>
      <c r="AQ7" s="68"/>
      <c r="AR7" s="68"/>
      <c r="AS7" s="67" t="s">
        <v>268</v>
      </c>
      <c r="AT7" s="67"/>
      <c r="AU7" s="67"/>
      <c r="AV7" s="68" t="s">
        <v>270</v>
      </c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</row>
    <row r="8" spans="1:77">
      <c r="A8" s="65" t="s">
        <v>271</v>
      </c>
      <c r="B8" s="65"/>
      <c r="C8" s="65"/>
      <c r="D8" s="65"/>
      <c r="E8" s="65"/>
      <c r="F8" s="65"/>
      <c r="G8" s="66" t="s">
        <v>272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I8" s="65" t="s">
        <v>271</v>
      </c>
      <c r="AJ8" s="65"/>
      <c r="AK8" s="65"/>
      <c r="AL8" s="65"/>
      <c r="AM8" s="65"/>
      <c r="AN8" s="65"/>
      <c r="AO8" s="68" t="s">
        <v>273</v>
      </c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</row>
    <row r="9" spans="1:77">
      <c r="A9" s="20">
        <v>1</v>
      </c>
      <c r="B9" s="20">
        <v>2</v>
      </c>
      <c r="C9" s="20">
        <v>3</v>
      </c>
      <c r="D9" s="20">
        <v>4</v>
      </c>
      <c r="E9" s="20">
        <v>5</v>
      </c>
      <c r="F9" s="20">
        <v>6</v>
      </c>
      <c r="G9" s="20">
        <v>7</v>
      </c>
      <c r="H9" s="20">
        <v>8</v>
      </c>
      <c r="I9" s="20">
        <v>9</v>
      </c>
      <c r="J9" s="20">
        <v>10</v>
      </c>
      <c r="K9" s="20">
        <v>11</v>
      </c>
      <c r="L9" s="20">
        <v>12</v>
      </c>
      <c r="M9" s="20">
        <v>13</v>
      </c>
      <c r="N9" s="20">
        <v>14</v>
      </c>
      <c r="O9" s="20">
        <v>15</v>
      </c>
      <c r="P9" s="20">
        <v>16</v>
      </c>
      <c r="Q9" s="20">
        <v>17</v>
      </c>
      <c r="R9" s="20">
        <v>18</v>
      </c>
      <c r="S9" s="20">
        <v>19</v>
      </c>
      <c r="T9" s="20">
        <v>20</v>
      </c>
      <c r="U9" s="20">
        <v>21</v>
      </c>
      <c r="V9" s="20">
        <v>22</v>
      </c>
      <c r="W9" s="20">
        <v>23</v>
      </c>
      <c r="X9" s="20">
        <v>24</v>
      </c>
      <c r="Y9" s="20">
        <v>25</v>
      </c>
      <c r="Z9" s="20">
        <v>26</v>
      </c>
      <c r="AA9" s="20">
        <v>27</v>
      </c>
      <c r="AB9" s="20">
        <v>28</v>
      </c>
      <c r="AC9" s="20">
        <v>29</v>
      </c>
      <c r="AD9" s="20">
        <v>30</v>
      </c>
      <c r="AE9" s="20">
        <v>31</v>
      </c>
      <c r="AF9" s="20">
        <v>32</v>
      </c>
      <c r="AG9" s="20">
        <v>33</v>
      </c>
      <c r="AH9" s="20">
        <v>34</v>
      </c>
      <c r="AI9" s="20">
        <v>35</v>
      </c>
      <c r="AJ9" s="20">
        <v>36</v>
      </c>
      <c r="AK9" s="20">
        <v>37</v>
      </c>
      <c r="AL9" s="20">
        <v>38</v>
      </c>
      <c r="AM9" s="20">
        <v>39</v>
      </c>
      <c r="AN9" s="20">
        <v>40</v>
      </c>
      <c r="AO9" s="20">
        <v>41</v>
      </c>
      <c r="AP9" s="20">
        <v>42</v>
      </c>
      <c r="AQ9" s="20">
        <v>43</v>
      </c>
      <c r="AR9" s="20">
        <v>44</v>
      </c>
      <c r="AS9" s="20">
        <v>45</v>
      </c>
      <c r="AT9" s="20">
        <v>46</v>
      </c>
      <c r="AU9" s="20">
        <v>47</v>
      </c>
      <c r="AV9" s="20">
        <v>48</v>
      </c>
      <c r="AW9" s="20">
        <v>49</v>
      </c>
      <c r="AX9" s="20">
        <v>50</v>
      </c>
      <c r="AY9" s="20">
        <v>51</v>
      </c>
      <c r="AZ9" s="20">
        <v>52</v>
      </c>
      <c r="BA9" s="20">
        <v>53</v>
      </c>
      <c r="BB9" s="20">
        <v>54</v>
      </c>
      <c r="BC9" s="20">
        <v>55</v>
      </c>
      <c r="BD9" s="20">
        <v>56</v>
      </c>
      <c r="BE9" s="20">
        <v>57</v>
      </c>
      <c r="BF9" s="20">
        <v>58</v>
      </c>
      <c r="BG9" s="20">
        <v>59</v>
      </c>
      <c r="BH9" s="20">
        <v>60</v>
      </c>
      <c r="BI9" s="20">
        <v>61</v>
      </c>
      <c r="BJ9" s="20">
        <v>62</v>
      </c>
      <c r="BK9" s="20">
        <v>63</v>
      </c>
      <c r="BL9" s="20">
        <v>64</v>
      </c>
      <c r="BM9" s="20">
        <v>65</v>
      </c>
      <c r="BN9" s="20">
        <v>66</v>
      </c>
      <c r="BO9" s="20">
        <v>67</v>
      </c>
      <c r="BP9" s="20">
        <v>68</v>
      </c>
      <c r="BQ9" s="20">
        <v>69</v>
      </c>
      <c r="BR9" s="20">
        <v>70</v>
      </c>
      <c r="BS9" s="20">
        <v>71</v>
      </c>
      <c r="BT9" s="20">
        <v>72</v>
      </c>
      <c r="BU9" s="20">
        <v>73</v>
      </c>
      <c r="BV9" s="20">
        <v>74</v>
      </c>
      <c r="BW9" s="20">
        <v>75</v>
      </c>
      <c r="BX9" s="20">
        <v>76</v>
      </c>
      <c r="BY9" s="20">
        <v>77</v>
      </c>
    </row>
    <row r="10" spans="1:77" ht="21.6" customHeight="1">
      <c r="B10" s="84" t="s">
        <v>274</v>
      </c>
      <c r="C10" s="85"/>
      <c r="D10" s="85"/>
      <c r="E10" s="85"/>
      <c r="F10" s="73">
        <v>46105</v>
      </c>
      <c r="G10" s="73"/>
      <c r="H10" s="73"/>
      <c r="I10" s="26"/>
      <c r="J10" s="86" t="s">
        <v>275</v>
      </c>
      <c r="K10" s="86"/>
      <c r="L10" s="86"/>
      <c r="M10" s="86"/>
      <c r="N10" s="86"/>
      <c r="O10" s="87">
        <v>34.47</v>
      </c>
      <c r="P10" s="87"/>
      <c r="Q10" s="26"/>
      <c r="R10" s="26"/>
      <c r="S10" s="26"/>
      <c r="T10" s="26"/>
      <c r="U10" s="26"/>
      <c r="V10" s="8" t="s">
        <v>94</v>
      </c>
      <c r="W10" s="26"/>
      <c r="X10" s="26"/>
      <c r="Y10" s="26"/>
      <c r="Z10" s="26"/>
      <c r="AA10" s="26"/>
      <c r="AB10" s="26"/>
      <c r="AC10" s="26"/>
      <c r="AD10" s="26"/>
      <c r="AE10" s="26"/>
    </row>
    <row r="11" spans="1:77" ht="9.6" customHeight="1">
      <c r="B11" s="27"/>
      <c r="C11" s="27"/>
      <c r="D11" s="27"/>
      <c r="E11" s="27"/>
      <c r="F11" s="27"/>
      <c r="G11" s="27"/>
      <c r="H11" s="28"/>
      <c r="I11" s="28"/>
      <c r="J11" s="28"/>
      <c r="K11" s="26"/>
      <c r="L11" s="28"/>
      <c r="M11" s="28"/>
      <c r="N11" s="28"/>
      <c r="O11" s="28"/>
      <c r="P11" s="28"/>
      <c r="Q11" s="28"/>
      <c r="R11" s="29"/>
      <c r="S11" s="29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spans="1:77" ht="21.6" customHeight="1">
      <c r="B12" s="84" t="s">
        <v>276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8"/>
      <c r="N12" s="75" t="s">
        <v>277</v>
      </c>
      <c r="O12" s="75"/>
      <c r="P12" s="75"/>
      <c r="Q12" s="57" t="s">
        <v>278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 spans="1:77" ht="31.95" customHeight="1">
      <c r="B13" s="79" t="s">
        <v>279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1"/>
      <c r="N13" s="75" t="str">
        <f>+Q12</f>
        <v>E8-234</v>
      </c>
      <c r="O13" s="75"/>
      <c r="P13" s="75"/>
      <c r="Q13" s="82" t="s">
        <v>280</v>
      </c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I13" s="83" t="s">
        <v>281</v>
      </c>
      <c r="AJ13" s="83"/>
      <c r="AK13" s="83"/>
      <c r="AL13" s="83" t="s">
        <v>282</v>
      </c>
      <c r="AM13" s="83"/>
      <c r="AN13" s="83"/>
      <c r="AT13" s="26"/>
    </row>
    <row r="14" spans="1:77" ht="21.6" customHeight="1">
      <c r="B14" s="84" t="s">
        <v>283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8"/>
      <c r="N14" s="75" t="s">
        <v>240</v>
      </c>
      <c r="O14" s="75"/>
      <c r="P14" s="75"/>
      <c r="Q14" s="90" t="str">
        <f>+VLOOKUP(V10,AZ17:BA24,2,FALSE)</f>
        <v>Cilindro de concreto</v>
      </c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I14" s="91">
        <v>3000</v>
      </c>
      <c r="AJ14" s="91"/>
      <c r="AK14" s="91"/>
      <c r="AL14" s="83">
        <f>AI14*0.00689476</f>
        <v>20.684280000000001</v>
      </c>
      <c r="AM14" s="83"/>
      <c r="AN14" s="83"/>
    </row>
    <row r="15" spans="1:77" ht="9.6" customHeight="1" thickBot="1"/>
    <row r="16" spans="1:77">
      <c r="B16" s="92" t="s">
        <v>284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4"/>
      <c r="AH16" s="20" t="s">
        <v>285</v>
      </c>
      <c r="AN16" s="20" t="s">
        <v>286</v>
      </c>
    </row>
    <row r="17" spans="2:62" ht="14.4">
      <c r="B17" s="97" t="s">
        <v>287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9"/>
      <c r="N17" s="75" t="s">
        <v>288</v>
      </c>
      <c r="O17" s="75"/>
      <c r="P17" s="75"/>
      <c r="Q17" s="89">
        <v>200</v>
      </c>
      <c r="R17" s="89"/>
      <c r="S17" s="89"/>
      <c r="T17" s="89"/>
      <c r="U17" s="89"/>
      <c r="V17" s="89">
        <v>200</v>
      </c>
      <c r="W17" s="89"/>
      <c r="X17" s="89"/>
      <c r="Y17" s="89"/>
      <c r="Z17" s="89"/>
      <c r="AA17" s="87">
        <v>200</v>
      </c>
      <c r="AB17" s="87"/>
      <c r="AC17" s="87"/>
      <c r="AD17" s="87"/>
      <c r="AE17" s="87"/>
      <c r="AH17" s="26" t="s">
        <v>289</v>
      </c>
      <c r="AI17" s="26"/>
      <c r="AJ17" s="26"/>
      <c r="AK17" s="26"/>
      <c r="AL17" s="26"/>
      <c r="AM17" s="26"/>
      <c r="AN17" s="26">
        <v>1</v>
      </c>
      <c r="AO17" s="26"/>
      <c r="AP17" s="26"/>
      <c r="AQ17" s="26"/>
      <c r="AR17" s="26"/>
      <c r="AS17" s="26"/>
      <c r="AZ17" s="20" t="s">
        <v>94</v>
      </c>
      <c r="BA17" s="20" t="s">
        <v>290</v>
      </c>
    </row>
    <row r="18" spans="2:62" ht="14.4">
      <c r="B18" s="103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75" t="s">
        <v>288</v>
      </c>
      <c r="O18" s="75"/>
      <c r="P18" s="75"/>
      <c r="Q18" s="89">
        <v>200</v>
      </c>
      <c r="R18" s="89"/>
      <c r="S18" s="89"/>
      <c r="T18" s="89"/>
      <c r="U18" s="89"/>
      <c r="V18" s="89">
        <v>201</v>
      </c>
      <c r="W18" s="89"/>
      <c r="X18" s="89"/>
      <c r="Y18" s="89"/>
      <c r="Z18" s="89"/>
      <c r="AA18" s="87">
        <v>200</v>
      </c>
      <c r="AB18" s="87"/>
      <c r="AC18" s="87"/>
      <c r="AD18" s="87"/>
      <c r="AE18" s="87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Z18" s="20" t="s">
        <v>291</v>
      </c>
      <c r="BA18" s="20" t="s">
        <v>292</v>
      </c>
    </row>
    <row r="19" spans="2:62" ht="14.4"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2"/>
      <c r="N19" s="75" t="s">
        <v>288</v>
      </c>
      <c r="O19" s="75"/>
      <c r="P19" s="75"/>
      <c r="Q19" s="89">
        <v>201</v>
      </c>
      <c r="R19" s="89"/>
      <c r="S19" s="89"/>
      <c r="T19" s="89"/>
      <c r="U19" s="89"/>
      <c r="V19" s="89">
        <v>201</v>
      </c>
      <c r="W19" s="89"/>
      <c r="X19" s="89"/>
      <c r="Y19" s="89"/>
      <c r="Z19" s="89"/>
      <c r="AA19" s="87">
        <v>201</v>
      </c>
      <c r="AB19" s="87"/>
      <c r="AC19" s="87"/>
      <c r="AD19" s="87"/>
      <c r="AE19" s="87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Z19" s="20" t="s">
        <v>293</v>
      </c>
      <c r="BA19" s="20" t="s">
        <v>294</v>
      </c>
    </row>
    <row r="20" spans="2:62" ht="14.4">
      <c r="B20" s="97" t="s">
        <v>359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9"/>
      <c r="N20" s="75" t="s">
        <v>288</v>
      </c>
      <c r="O20" s="75"/>
      <c r="P20" s="75"/>
      <c r="Q20" s="95">
        <v>100</v>
      </c>
      <c r="R20" s="95"/>
      <c r="S20" s="95"/>
      <c r="T20" s="95"/>
      <c r="U20" s="95"/>
      <c r="V20" s="95">
        <v>101</v>
      </c>
      <c r="W20" s="95"/>
      <c r="X20" s="95"/>
      <c r="Y20" s="95"/>
      <c r="Z20" s="95"/>
      <c r="AA20" s="78">
        <v>101</v>
      </c>
      <c r="AB20" s="78"/>
      <c r="AC20" s="78"/>
      <c r="AD20" s="78"/>
      <c r="AE20" s="78"/>
      <c r="AH20" s="26" t="s">
        <v>295</v>
      </c>
      <c r="AI20" s="26"/>
      <c r="AJ20" s="26"/>
      <c r="AK20" s="26"/>
      <c r="AL20" s="26"/>
      <c r="AM20" s="26"/>
      <c r="AN20" s="26">
        <v>2</v>
      </c>
      <c r="AO20" s="26"/>
      <c r="AP20" s="26"/>
      <c r="AQ20" s="26"/>
      <c r="AR20" s="26"/>
      <c r="AS20" s="26"/>
      <c r="AZ20" s="20" t="s">
        <v>296</v>
      </c>
      <c r="BA20" s="20" t="s">
        <v>297</v>
      </c>
    </row>
    <row r="21" spans="2:62" ht="14.4"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2"/>
      <c r="N21" s="75" t="s">
        <v>288</v>
      </c>
      <c r="O21" s="75"/>
      <c r="P21" s="75"/>
      <c r="Q21" s="95">
        <v>101</v>
      </c>
      <c r="R21" s="95"/>
      <c r="S21" s="95"/>
      <c r="T21" s="95"/>
      <c r="U21" s="95"/>
      <c r="V21" s="95">
        <v>101</v>
      </c>
      <c r="W21" s="95"/>
      <c r="X21" s="95"/>
      <c r="Y21" s="95"/>
      <c r="Z21" s="95"/>
      <c r="AA21" s="78">
        <v>100</v>
      </c>
      <c r="AB21" s="78"/>
      <c r="AC21" s="78"/>
      <c r="AD21" s="78"/>
      <c r="AE21" s="78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Z21" s="20" t="s">
        <v>298</v>
      </c>
      <c r="BA21" s="20" t="s">
        <v>299</v>
      </c>
    </row>
    <row r="22" spans="2:62" ht="14.4">
      <c r="B22" s="96" t="s">
        <v>300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75" t="s">
        <v>301</v>
      </c>
      <c r="O22" s="75"/>
      <c r="P22" s="75"/>
      <c r="Q22" s="89">
        <v>3887</v>
      </c>
      <c r="R22" s="89"/>
      <c r="S22" s="89"/>
      <c r="T22" s="89"/>
      <c r="U22" s="89"/>
      <c r="V22" s="89">
        <v>3937</v>
      </c>
      <c r="W22" s="89"/>
      <c r="X22" s="89"/>
      <c r="Y22" s="89"/>
      <c r="Z22" s="89"/>
      <c r="AA22" s="89">
        <v>3855</v>
      </c>
      <c r="AB22" s="89"/>
      <c r="AC22" s="89"/>
      <c r="AD22" s="89"/>
      <c r="AE22" s="89"/>
      <c r="AH22" s="26" t="s">
        <v>302</v>
      </c>
      <c r="AI22" s="26"/>
      <c r="AJ22" s="26"/>
      <c r="AK22" s="26"/>
      <c r="AL22" s="26"/>
      <c r="AM22" s="26"/>
      <c r="AN22" s="26">
        <v>3</v>
      </c>
      <c r="AO22" s="26"/>
      <c r="AP22" s="26"/>
      <c r="AQ22" s="26"/>
      <c r="AR22" s="26"/>
      <c r="AS22" s="26"/>
      <c r="AZ22" s="20" t="s">
        <v>303</v>
      </c>
      <c r="BA22" s="20" t="s">
        <v>304</v>
      </c>
    </row>
    <row r="23" spans="2:62" ht="15" thickBot="1">
      <c r="AH23" s="26" t="s">
        <v>305</v>
      </c>
      <c r="AI23" s="26"/>
      <c r="AJ23" s="26"/>
      <c r="AK23" s="26"/>
      <c r="AL23" s="26"/>
      <c r="AM23" s="26"/>
      <c r="AN23" s="26">
        <v>4</v>
      </c>
      <c r="AO23" s="26"/>
      <c r="AP23" s="26"/>
      <c r="AQ23" s="26"/>
      <c r="AR23" s="26"/>
      <c r="AS23" s="26"/>
      <c r="AZ23" s="20" t="s">
        <v>301</v>
      </c>
      <c r="BA23" s="20" t="s">
        <v>306</v>
      </c>
    </row>
    <row r="24" spans="2:62" ht="14.4">
      <c r="B24" s="92" t="s">
        <v>307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4"/>
      <c r="AH24" s="26"/>
      <c r="AI24" s="26"/>
      <c r="AJ24" s="26"/>
      <c r="AK24" s="26"/>
      <c r="AL24" s="26"/>
      <c r="AM24" s="26"/>
      <c r="AN24" s="26">
        <v>5</v>
      </c>
      <c r="AO24" s="26"/>
      <c r="AP24" s="26"/>
      <c r="AQ24" s="26"/>
      <c r="AR24" s="26"/>
      <c r="AS24" s="26"/>
      <c r="AZ24" s="20" t="s">
        <v>308</v>
      </c>
      <c r="BA24" s="20" t="s">
        <v>309</v>
      </c>
    </row>
    <row r="25" spans="2:62">
      <c r="B25" s="109" t="s">
        <v>310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75" t="s">
        <v>311</v>
      </c>
      <c r="O25" s="75"/>
      <c r="P25" s="75"/>
      <c r="Q25" s="87">
        <v>289.5</v>
      </c>
      <c r="R25" s="87"/>
      <c r="S25" s="87"/>
      <c r="T25" s="87"/>
      <c r="U25" s="87"/>
      <c r="V25" s="87">
        <v>303.89999999999998</v>
      </c>
      <c r="W25" s="87"/>
      <c r="X25" s="87"/>
      <c r="Y25" s="87"/>
      <c r="Z25" s="87"/>
      <c r="AA25" s="87">
        <v>283.39999999999998</v>
      </c>
      <c r="AB25" s="87"/>
      <c r="AC25" s="87"/>
      <c r="AD25" s="87"/>
      <c r="AE25" s="87"/>
    </row>
    <row r="26" spans="2:62">
      <c r="B26" s="106" t="s">
        <v>312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75" t="s">
        <v>240</v>
      </c>
      <c r="O26" s="75"/>
      <c r="P26" s="75"/>
      <c r="Q26" s="89">
        <v>2</v>
      </c>
      <c r="R26" s="89"/>
      <c r="S26" s="89"/>
      <c r="T26" s="89"/>
      <c r="U26" s="89"/>
      <c r="V26" s="89">
        <v>3</v>
      </c>
      <c r="W26" s="89"/>
      <c r="X26" s="89"/>
      <c r="Y26" s="89"/>
      <c r="Z26" s="89"/>
      <c r="AA26" s="89">
        <v>3</v>
      </c>
      <c r="AB26" s="89"/>
      <c r="AC26" s="89"/>
      <c r="AD26" s="89"/>
      <c r="AE26" s="89"/>
      <c r="AH26" s="20">
        <f>+COUNT(AN17:AN24)</f>
        <v>5</v>
      </c>
    </row>
    <row r="28" spans="2:62" ht="14.4">
      <c r="B28" s="30" t="s">
        <v>313</v>
      </c>
      <c r="C28" s="26"/>
      <c r="D28" s="31"/>
      <c r="E28" s="31"/>
      <c r="F28" s="31"/>
      <c r="G28" s="107" t="s">
        <v>95</v>
      </c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</row>
    <row r="29" spans="2:62"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</row>
    <row r="32" spans="2:62" ht="15" thickBot="1">
      <c r="H32" s="48"/>
      <c r="I32" s="48"/>
      <c r="J32" s="48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</row>
    <row r="33" spans="2:62" ht="14.4">
      <c r="B33" s="92" t="s">
        <v>284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4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</row>
    <row r="34" spans="2:62">
      <c r="B34" s="97" t="s">
        <v>287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9"/>
      <c r="N34" s="75" t="s">
        <v>288</v>
      </c>
      <c r="O34" s="75"/>
      <c r="P34" s="75"/>
      <c r="Q34" s="95">
        <f t="shared" ref="Q34:Q39" si="0">+_xlfn.NUMBERVALUE(Q17)</f>
        <v>200</v>
      </c>
      <c r="R34" s="95"/>
      <c r="S34" s="95"/>
      <c r="T34" s="95"/>
      <c r="U34" s="95"/>
      <c r="V34" s="95">
        <f t="shared" ref="V34:V39" si="1">+_xlfn.NUMBERVALUE(V17)</f>
        <v>200</v>
      </c>
      <c r="W34" s="95"/>
      <c r="X34" s="95"/>
      <c r="Y34" s="95"/>
      <c r="Z34" s="95"/>
      <c r="AA34" s="95">
        <f t="shared" ref="AA34:AA39" si="2">+_xlfn.NUMBERVALUE(AA17)</f>
        <v>200</v>
      </c>
      <c r="AB34" s="95"/>
      <c r="AC34" s="95"/>
      <c r="AD34" s="95"/>
      <c r="AE34" s="95"/>
    </row>
    <row r="35" spans="2:62">
      <c r="B35" s="103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5"/>
      <c r="N35" s="75" t="s">
        <v>288</v>
      </c>
      <c r="O35" s="75"/>
      <c r="P35" s="75"/>
      <c r="Q35" s="95">
        <f t="shared" si="0"/>
        <v>200</v>
      </c>
      <c r="R35" s="95"/>
      <c r="S35" s="95"/>
      <c r="T35" s="95"/>
      <c r="U35" s="95"/>
      <c r="V35" s="95">
        <f t="shared" si="1"/>
        <v>201</v>
      </c>
      <c r="W35" s="95"/>
      <c r="X35" s="95"/>
      <c r="Y35" s="95"/>
      <c r="Z35" s="95"/>
      <c r="AA35" s="95">
        <f t="shared" si="2"/>
        <v>200</v>
      </c>
      <c r="AB35" s="95"/>
      <c r="AC35" s="95"/>
      <c r="AD35" s="95"/>
      <c r="AE35" s="95"/>
    </row>
    <row r="36" spans="2:62">
      <c r="B36" s="100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2"/>
      <c r="N36" s="75" t="s">
        <v>288</v>
      </c>
      <c r="O36" s="75"/>
      <c r="P36" s="75"/>
      <c r="Q36" s="95">
        <f t="shared" si="0"/>
        <v>201</v>
      </c>
      <c r="R36" s="95"/>
      <c r="S36" s="95"/>
      <c r="T36" s="95"/>
      <c r="U36" s="95"/>
      <c r="V36" s="95">
        <f t="shared" si="1"/>
        <v>201</v>
      </c>
      <c r="W36" s="95"/>
      <c r="X36" s="95"/>
      <c r="Y36" s="95"/>
      <c r="Z36" s="95"/>
      <c r="AA36" s="95">
        <f t="shared" si="2"/>
        <v>201</v>
      </c>
      <c r="AB36" s="95"/>
      <c r="AC36" s="95"/>
      <c r="AD36" s="95"/>
      <c r="AE36" s="95"/>
    </row>
    <row r="37" spans="2:62">
      <c r="B37" s="97" t="s">
        <v>359</v>
      </c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9"/>
      <c r="N37" s="75" t="s">
        <v>288</v>
      </c>
      <c r="O37" s="75"/>
      <c r="P37" s="75"/>
      <c r="Q37" s="95">
        <f t="shared" si="0"/>
        <v>100</v>
      </c>
      <c r="R37" s="95"/>
      <c r="S37" s="95"/>
      <c r="T37" s="95"/>
      <c r="U37" s="95"/>
      <c r="V37" s="95">
        <f t="shared" si="1"/>
        <v>101</v>
      </c>
      <c r="W37" s="95"/>
      <c r="X37" s="95"/>
      <c r="Y37" s="95"/>
      <c r="Z37" s="95"/>
      <c r="AA37" s="95">
        <f t="shared" si="2"/>
        <v>101</v>
      </c>
      <c r="AB37" s="95"/>
      <c r="AC37" s="95"/>
      <c r="AD37" s="95"/>
      <c r="AE37" s="95"/>
    </row>
    <row r="38" spans="2:62">
      <c r="B38" s="100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2"/>
      <c r="N38" s="75" t="s">
        <v>288</v>
      </c>
      <c r="O38" s="75"/>
      <c r="P38" s="75"/>
      <c r="Q38" s="95">
        <f t="shared" si="0"/>
        <v>101</v>
      </c>
      <c r="R38" s="95"/>
      <c r="S38" s="95"/>
      <c r="T38" s="95"/>
      <c r="U38" s="95"/>
      <c r="V38" s="95">
        <f t="shared" si="1"/>
        <v>101</v>
      </c>
      <c r="W38" s="95"/>
      <c r="X38" s="95"/>
      <c r="Y38" s="95"/>
      <c r="Z38" s="95"/>
      <c r="AA38" s="95">
        <f t="shared" si="2"/>
        <v>100</v>
      </c>
      <c r="AB38" s="95"/>
      <c r="AC38" s="95"/>
      <c r="AD38" s="95"/>
      <c r="AE38" s="95"/>
    </row>
    <row r="39" spans="2:62">
      <c r="B39" s="96" t="s">
        <v>300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75" t="s">
        <v>301</v>
      </c>
      <c r="O39" s="75"/>
      <c r="P39" s="75"/>
      <c r="Q39" s="95">
        <f t="shared" si="0"/>
        <v>3887</v>
      </c>
      <c r="R39" s="95"/>
      <c r="S39" s="95"/>
      <c r="T39" s="95"/>
      <c r="U39" s="95"/>
      <c r="V39" s="95">
        <f t="shared" si="1"/>
        <v>3937</v>
      </c>
      <c r="W39" s="95"/>
      <c r="X39" s="95"/>
      <c r="Y39" s="95"/>
      <c r="Z39" s="95"/>
      <c r="AA39" s="95">
        <f t="shared" si="2"/>
        <v>3855</v>
      </c>
      <c r="AB39" s="95"/>
      <c r="AC39" s="95"/>
      <c r="AD39" s="95"/>
      <c r="AE39" s="95"/>
    </row>
    <row r="40" spans="2:62" ht="14.4" thickBot="1"/>
    <row r="41" spans="2:62">
      <c r="B41" s="92" t="s">
        <v>307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4"/>
    </row>
    <row r="42" spans="2:62">
      <c r="B42" s="109" t="s">
        <v>310</v>
      </c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75" t="s">
        <v>311</v>
      </c>
      <c r="O42" s="75"/>
      <c r="P42" s="75"/>
      <c r="Q42" s="95">
        <f>+_xlfn.NUMBERVALUE(Q25)</f>
        <v>289.5</v>
      </c>
      <c r="R42" s="95"/>
      <c r="S42" s="95"/>
      <c r="T42" s="95"/>
      <c r="U42" s="95"/>
      <c r="V42" s="95">
        <f>+_xlfn.NUMBERVALUE(V25)</f>
        <v>303.89999999999998</v>
      </c>
      <c r="W42" s="95"/>
      <c r="X42" s="95"/>
      <c r="Y42" s="95"/>
      <c r="Z42" s="95"/>
      <c r="AA42" s="95">
        <f>+_xlfn.NUMBERVALUE(AA25)</f>
        <v>283.39999999999998</v>
      </c>
      <c r="AB42" s="95"/>
      <c r="AC42" s="95"/>
      <c r="AD42" s="95"/>
      <c r="AE42" s="95"/>
      <c r="AQ42" s="20" t="s">
        <v>314</v>
      </c>
    </row>
    <row r="43" spans="2:62">
      <c r="B43" s="106" t="s">
        <v>312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75" t="s">
        <v>240</v>
      </c>
      <c r="O43" s="75"/>
      <c r="P43" s="75"/>
      <c r="Q43" s="95">
        <f>+_xlfn.NUMBERVALUE(Q26)</f>
        <v>2</v>
      </c>
      <c r="R43" s="95"/>
      <c r="S43" s="95"/>
      <c r="T43" s="95"/>
      <c r="U43" s="95"/>
      <c r="V43" s="95">
        <f>+_xlfn.NUMBERVALUE(V26)</f>
        <v>3</v>
      </c>
      <c r="W43" s="95"/>
      <c r="X43" s="95"/>
      <c r="Y43" s="95"/>
      <c r="Z43" s="95"/>
      <c r="AA43" s="95">
        <f>+_xlfn.NUMBERVALUE(AA26)</f>
        <v>3</v>
      </c>
      <c r="AB43" s="95"/>
      <c r="AC43" s="95"/>
      <c r="AD43" s="95"/>
      <c r="AE43" s="95"/>
      <c r="AQ43" s="32">
        <v>0.5</v>
      </c>
    </row>
    <row r="44" spans="2:62">
      <c r="AQ44" s="32">
        <v>1</v>
      </c>
      <c r="AR44" s="32">
        <v>0.87</v>
      </c>
    </row>
    <row r="45" spans="2:62">
      <c r="B45" s="33" t="s">
        <v>315</v>
      </c>
      <c r="C45" s="34"/>
      <c r="D45" s="34"/>
      <c r="E45" s="34"/>
      <c r="F45" s="34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Q45" s="32">
        <v>1.25</v>
      </c>
      <c r="AR45" s="32">
        <v>0.93</v>
      </c>
    </row>
    <row r="46" spans="2:62">
      <c r="AQ46" s="32">
        <v>1.5</v>
      </c>
      <c r="AR46" s="32">
        <v>0.96</v>
      </c>
    </row>
    <row r="47" spans="2:62">
      <c r="AQ47" s="32">
        <v>1.75</v>
      </c>
      <c r="AR47" s="32">
        <v>0.98</v>
      </c>
    </row>
    <row r="48" spans="2:62">
      <c r="AQ48" s="32">
        <v>2</v>
      </c>
      <c r="AR48" s="32">
        <v>1</v>
      </c>
    </row>
    <row r="49" spans="1:53">
      <c r="AQ49" s="32">
        <v>3</v>
      </c>
      <c r="AR49" s="32"/>
    </row>
    <row r="57" spans="1:53" ht="12" customHeight="1">
      <c r="A57" s="111" t="s">
        <v>316</v>
      </c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</row>
    <row r="58" spans="1:53" ht="17.100000000000001" customHeight="1">
      <c r="A58" s="112" t="s">
        <v>317</v>
      </c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T58" s="26"/>
      <c r="AU58" s="26"/>
      <c r="AV58" s="26"/>
      <c r="AW58" s="26"/>
      <c r="AX58" s="26"/>
      <c r="AY58" s="26"/>
      <c r="AZ58" s="26"/>
      <c r="BA58" s="26"/>
    </row>
    <row r="59" spans="1:53" ht="17.100000000000001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T59" s="26"/>
      <c r="AU59" s="26"/>
      <c r="AV59" s="26"/>
      <c r="AW59" s="26"/>
      <c r="AX59" s="26"/>
      <c r="AY59" s="26"/>
      <c r="AZ59" s="26"/>
      <c r="BA59" s="26"/>
    </row>
    <row r="60" spans="1:53" ht="17.100000000000001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T60" s="26"/>
      <c r="AU60" s="26"/>
      <c r="AV60" s="26"/>
      <c r="AW60" s="26"/>
      <c r="AX60" s="26"/>
      <c r="AY60" s="26"/>
      <c r="AZ60" s="26"/>
      <c r="BA60" s="26"/>
    </row>
    <row r="61" spans="1:53" ht="17.100000000000001" customHeight="1">
      <c r="A61" s="112" t="s">
        <v>318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T61" s="26"/>
      <c r="AU61" s="26"/>
      <c r="AV61" s="26"/>
      <c r="AW61" s="26"/>
      <c r="AX61" s="26"/>
      <c r="AY61" s="26"/>
      <c r="AZ61" s="26"/>
      <c r="BA61" s="26"/>
    </row>
    <row r="62" spans="1:53" ht="15" customHeight="1">
      <c r="A62" s="125" t="s">
        <v>319</v>
      </c>
      <c r="B62" s="126"/>
      <c r="C62" s="126"/>
      <c r="D62" s="117" t="s">
        <v>320</v>
      </c>
      <c r="E62" s="127"/>
      <c r="F62" s="127"/>
      <c r="G62" s="127"/>
      <c r="H62" s="128"/>
      <c r="I62" s="114" t="s">
        <v>321</v>
      </c>
      <c r="J62" s="115"/>
      <c r="K62" s="115"/>
      <c r="L62" s="115"/>
      <c r="M62" s="129" t="s">
        <v>322</v>
      </c>
      <c r="N62" s="129"/>
      <c r="O62" s="129"/>
      <c r="P62" s="129"/>
      <c r="Q62" s="114" t="s">
        <v>323</v>
      </c>
      <c r="R62" s="115"/>
      <c r="S62" s="115"/>
      <c r="T62" s="115"/>
      <c r="U62" s="130">
        <v>44534</v>
      </c>
      <c r="V62" s="130"/>
      <c r="W62" s="130"/>
      <c r="X62" s="130"/>
      <c r="Y62" s="130"/>
      <c r="Z62" s="114" t="s">
        <v>324</v>
      </c>
      <c r="AA62" s="115"/>
      <c r="AB62" s="115"/>
      <c r="AC62" s="116" t="s">
        <v>325</v>
      </c>
      <c r="AD62" s="116"/>
      <c r="AE62" s="116"/>
      <c r="AF62" s="117"/>
      <c r="AT62" s="26"/>
      <c r="AU62" s="26"/>
      <c r="AV62" s="26"/>
      <c r="AW62" s="26"/>
      <c r="AX62" s="26"/>
      <c r="AY62" s="26"/>
      <c r="AZ62" s="26"/>
      <c r="BA62" s="26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</row>
    <row r="64" spans="1:53" ht="12.6" customHeight="1">
      <c r="A64" s="118" t="s">
        <v>239</v>
      </c>
      <c r="B64" s="119"/>
      <c r="C64" s="119"/>
      <c r="D64" s="120" t="str">
        <f ca="1">+D3</f>
        <v>ID-0074045-2026</v>
      </c>
      <c r="E64" s="121"/>
      <c r="F64" s="121"/>
      <c r="G64" s="121"/>
      <c r="H64" s="121"/>
      <c r="I64" s="35" t="s">
        <v>240</v>
      </c>
      <c r="J64" s="36">
        <f>+J3</f>
        <v>1</v>
      </c>
      <c r="K64" s="120" t="s">
        <v>241</v>
      </c>
      <c r="L64" s="121"/>
      <c r="M64" s="121"/>
      <c r="N64" s="121"/>
      <c r="O64" s="121"/>
      <c r="P64" s="122"/>
      <c r="Q64" s="121" t="str">
        <f>+Q3</f>
        <v>R-5888-3</v>
      </c>
      <c r="R64" s="121"/>
      <c r="S64" s="121"/>
      <c r="T64" s="121"/>
      <c r="U64" s="122"/>
      <c r="V64" s="120" t="s">
        <v>243</v>
      </c>
      <c r="W64" s="121"/>
      <c r="X64" s="121"/>
      <c r="Y64" s="121"/>
      <c r="Z64" s="121"/>
      <c r="AA64" s="122"/>
      <c r="AB64" s="123" t="str">
        <f>+AB3</f>
        <v>1</v>
      </c>
      <c r="AC64" s="124"/>
      <c r="AD64" s="124"/>
      <c r="AE64" s="124"/>
      <c r="AF64" s="124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</row>
    <row r="65" spans="1:69" ht="12.6" customHeight="1">
      <c r="A65" s="124" t="s">
        <v>248</v>
      </c>
      <c r="B65" s="124"/>
      <c r="C65" s="124"/>
      <c r="D65" s="131"/>
      <c r="E65" s="131"/>
      <c r="F65" s="131"/>
      <c r="G65" s="132">
        <f>+G4</f>
        <v>46112</v>
      </c>
      <c r="H65" s="132"/>
      <c r="I65" s="132"/>
      <c r="J65" s="132"/>
      <c r="K65" s="120" t="s">
        <v>249</v>
      </c>
      <c r="L65" s="121"/>
      <c r="M65" s="121"/>
      <c r="N65" s="121"/>
      <c r="O65" s="121"/>
      <c r="P65" s="122"/>
      <c r="Q65" s="133">
        <f>+Q4</f>
        <v>46111</v>
      </c>
      <c r="R65" s="133"/>
      <c r="S65" s="133"/>
      <c r="T65" s="133"/>
      <c r="U65" s="133"/>
      <c r="V65" s="120" t="s">
        <v>250</v>
      </c>
      <c r="W65" s="121"/>
      <c r="X65" s="121"/>
      <c r="Y65" s="121"/>
      <c r="Z65" s="121"/>
      <c r="AA65" s="122"/>
      <c r="AB65" s="113">
        <f>+AB4</f>
        <v>46113</v>
      </c>
      <c r="AC65" s="113"/>
      <c r="AD65" s="113"/>
      <c r="AE65" s="113"/>
      <c r="AF65" s="113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</row>
    <row r="66" spans="1:69" ht="12.6" customHeight="1">
      <c r="A66" s="138" t="s">
        <v>326</v>
      </c>
      <c r="B66" s="138"/>
      <c r="C66" s="138"/>
      <c r="D66" s="138"/>
      <c r="E66" s="138"/>
      <c r="F66" s="138"/>
      <c r="G66" s="139" t="str">
        <f>UPPER(G5)</f>
        <v>CONSORCIO METRO XM</v>
      </c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</row>
    <row r="67" spans="1:69" ht="12.6" customHeight="1">
      <c r="A67" s="134" t="s">
        <v>327</v>
      </c>
      <c r="B67" s="134"/>
      <c r="C67" s="134"/>
      <c r="D67" s="134"/>
      <c r="E67" s="134"/>
      <c r="F67" s="134"/>
      <c r="G67" s="135" t="str">
        <f>UPPER(G6)</f>
        <v>CR 14 # 75-77 OF 409</v>
      </c>
      <c r="H67" s="135"/>
      <c r="I67" s="135"/>
      <c r="J67" s="135"/>
      <c r="K67" s="135"/>
      <c r="L67" s="135"/>
      <c r="M67" s="135"/>
      <c r="N67" s="135"/>
      <c r="O67" s="136" t="s">
        <v>328</v>
      </c>
      <c r="P67" s="136"/>
      <c r="Q67" s="136"/>
      <c r="R67" s="135" t="str">
        <f>UPPER(R6)</f>
        <v>BOGOTÁ</v>
      </c>
      <c r="S67" s="135"/>
      <c r="T67" s="135"/>
      <c r="U67" s="136" t="s">
        <v>329</v>
      </c>
      <c r="V67" s="136"/>
      <c r="W67" s="136"/>
      <c r="X67" s="135" t="str">
        <f>UPPER(X6)</f>
        <v>BOGOTÁ</v>
      </c>
      <c r="Y67" s="135"/>
      <c r="Z67" s="135"/>
      <c r="AA67" s="136" t="s">
        <v>330</v>
      </c>
      <c r="AB67" s="136"/>
      <c r="AC67" s="136"/>
      <c r="AD67" s="135" t="str">
        <f>UPPER(AD6)</f>
        <v>COLOMBIA</v>
      </c>
      <c r="AE67" s="135"/>
      <c r="AF67" s="135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</row>
    <row r="68" spans="1:69" ht="50.1" customHeight="1">
      <c r="A68" s="134" t="s">
        <v>266</v>
      </c>
      <c r="B68" s="134"/>
      <c r="C68" s="134"/>
      <c r="D68" s="134"/>
      <c r="E68" s="134"/>
      <c r="F68" s="134"/>
      <c r="G68" s="135" t="str">
        <f>UPPER(G7)</f>
        <v>OB-003418</v>
      </c>
      <c r="H68" s="135"/>
      <c r="I68" s="135"/>
      <c r="J68" s="135"/>
      <c r="K68" s="136" t="s">
        <v>331</v>
      </c>
      <c r="L68" s="136"/>
      <c r="M68" s="136"/>
      <c r="N68" s="137" t="str">
        <f>UPPER(N7)</f>
        <v>ESTACIÓN 8 ML</v>
      </c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</row>
    <row r="69" spans="1:69" ht="12.6" customHeight="1">
      <c r="A69" s="134" t="s">
        <v>332</v>
      </c>
      <c r="B69" s="134"/>
      <c r="C69" s="134"/>
      <c r="D69" s="134"/>
      <c r="E69" s="134"/>
      <c r="F69" s="134"/>
      <c r="G69" s="135" t="str">
        <f>UPPER(G8)</f>
        <v xml:space="preserve">CEMEX </v>
      </c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</row>
    <row r="70" spans="1:69" ht="3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</row>
    <row r="71" spans="1:69" ht="12.6" customHeight="1">
      <c r="A71" s="34"/>
      <c r="B71" s="146" t="s">
        <v>333</v>
      </c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8"/>
      <c r="AF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</row>
    <row r="72" spans="1:69" ht="3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</row>
    <row r="73" spans="1:69" ht="19.2" customHeight="1">
      <c r="A73" s="34"/>
      <c r="B73" s="140" t="s">
        <v>334</v>
      </c>
      <c r="C73" s="141"/>
      <c r="D73" s="141"/>
      <c r="E73" s="141"/>
      <c r="F73" s="133">
        <f>+F10</f>
        <v>46105</v>
      </c>
      <c r="G73" s="133"/>
      <c r="H73" s="133"/>
      <c r="I73"/>
      <c r="J73" s="137" t="s">
        <v>335</v>
      </c>
      <c r="K73" s="137"/>
      <c r="L73" s="137"/>
      <c r="M73" s="137"/>
      <c r="N73" s="137"/>
      <c r="O73" s="149">
        <f>+O10</f>
        <v>34.47</v>
      </c>
      <c r="P73" s="149"/>
      <c r="Q73"/>
      <c r="R73" s="137" t="s">
        <v>336</v>
      </c>
      <c r="S73" s="137"/>
      <c r="T73" s="137"/>
      <c r="U73" s="137"/>
      <c r="V73" s="137"/>
      <c r="W73" s="150">
        <f>O73*145.038</f>
        <v>4999.4598599999999</v>
      </c>
      <c r="X73" s="150"/>
      <c r="Y73"/>
      <c r="Z73" s="137" t="s">
        <v>337</v>
      </c>
      <c r="AA73" s="137"/>
      <c r="AB73" s="137"/>
      <c r="AC73" s="151">
        <f>Q65-F73</f>
        <v>6</v>
      </c>
      <c r="AD73" s="152"/>
      <c r="AE73" s="153"/>
      <c r="AF73" s="34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</row>
    <row r="74" spans="1:69" ht="3" customHeight="1">
      <c r="A74" s="34"/>
      <c r="B74" s="37"/>
      <c r="C74" s="37"/>
      <c r="D74" s="37"/>
      <c r="E74" s="37"/>
      <c r="F74" s="37"/>
      <c r="G74" s="37"/>
      <c r="H74" s="38"/>
      <c r="I74" s="38"/>
      <c r="J74" s="38"/>
      <c r="K74"/>
      <c r="L74" s="38"/>
      <c r="M74" s="38"/>
      <c r="N74" s="38"/>
      <c r="O74" s="38"/>
      <c r="P74" s="38"/>
      <c r="Q74" s="38"/>
      <c r="R74" s="39"/>
      <c r="S74" s="39"/>
      <c r="T74"/>
      <c r="U74"/>
      <c r="V74"/>
      <c r="W74"/>
      <c r="X74"/>
      <c r="Y74"/>
      <c r="Z74"/>
      <c r="AA74"/>
      <c r="AB74"/>
      <c r="AC74"/>
      <c r="AD74"/>
      <c r="AE74"/>
      <c r="AF74" s="34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</row>
    <row r="75" spans="1:69" ht="18" customHeight="1">
      <c r="A75" s="34"/>
      <c r="B75" s="140" t="s">
        <v>276</v>
      </c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2"/>
      <c r="N75" s="124" t="s">
        <v>277</v>
      </c>
      <c r="O75" s="124"/>
      <c r="P75" s="124"/>
      <c r="Q75" s="124" t="str">
        <f>UPPER(Q12)</f>
        <v>E8-234</v>
      </c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40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</row>
    <row r="76" spans="1:69" ht="59.4" customHeight="1">
      <c r="A76" s="34"/>
      <c r="B76" s="143" t="s">
        <v>338</v>
      </c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5"/>
      <c r="N76" s="137" t="str">
        <f>+Q75</f>
        <v>E8-234</v>
      </c>
      <c r="O76" s="137"/>
      <c r="P76" s="137"/>
      <c r="Q76" s="137" t="str">
        <f>UPPER(Q13)</f>
        <v>PLACA NIVEL INFERIOR DE PLATAFORMA +13.82 EJE 3´-5´ - ENTRE EJES A-E</v>
      </c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34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</row>
    <row r="77" spans="1:69" ht="14.4">
      <c r="A77" s="34"/>
      <c r="B77" s="140" t="s">
        <v>283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2"/>
      <c r="N77" s="124" t="s">
        <v>240</v>
      </c>
      <c r="O77" s="124"/>
      <c r="P77" s="124"/>
      <c r="Q77" s="154" t="str">
        <f>+UPPER(Q14)</f>
        <v>CILINDRO DE CONCRETO</v>
      </c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34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</row>
    <row r="78" spans="1:69" ht="3" customHeight="1">
      <c r="A78" s="34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41"/>
      <c r="Y78" s="41"/>
      <c r="Z78" s="41"/>
      <c r="AA78" s="41"/>
      <c r="AB78" s="41"/>
      <c r="AC78" s="41"/>
      <c r="AD78" s="41"/>
      <c r="AE78" s="41"/>
      <c r="AF78" s="34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</row>
    <row r="79" spans="1:69" ht="15.6" customHeight="1">
      <c r="A79" s="34"/>
      <c r="B79" s="155" t="s">
        <v>284</v>
      </c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34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</row>
    <row r="80" spans="1:69" ht="15.6" customHeight="1">
      <c r="A80" s="34"/>
      <c r="B80" s="156" t="s">
        <v>339</v>
      </c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8"/>
      <c r="N80" s="131" t="s">
        <v>240</v>
      </c>
      <c r="O80" s="131"/>
      <c r="P80" s="131"/>
      <c r="Q80" s="159">
        <v>1</v>
      </c>
      <c r="R80" s="159"/>
      <c r="S80" s="159"/>
      <c r="T80" s="159"/>
      <c r="U80" s="159"/>
      <c r="V80" s="159">
        <v>2</v>
      </c>
      <c r="W80" s="159"/>
      <c r="X80" s="159"/>
      <c r="Y80" s="159"/>
      <c r="Z80" s="159"/>
      <c r="AA80" s="159">
        <v>3</v>
      </c>
      <c r="AB80" s="159"/>
      <c r="AC80" s="159"/>
      <c r="AD80" s="159"/>
      <c r="AE80" s="159"/>
      <c r="AF80" s="34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</row>
    <row r="81" spans="1:69" ht="10.95" customHeight="1">
      <c r="A81" s="34"/>
      <c r="B81" s="160" t="s">
        <v>287</v>
      </c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24" t="s">
        <v>288</v>
      </c>
      <c r="O81" s="124"/>
      <c r="P81" s="124"/>
      <c r="Q81" s="150">
        <f>+IF(Q17=0,"",ROUND(AVERAGE(Q34:U36),0))</f>
        <v>200</v>
      </c>
      <c r="R81" s="150"/>
      <c r="S81" s="150"/>
      <c r="T81" s="150"/>
      <c r="U81" s="150"/>
      <c r="V81" s="150">
        <f>+IF(V17=0,"",ROUND(AVERAGE(V34:Z36),0))</f>
        <v>201</v>
      </c>
      <c r="W81" s="150"/>
      <c r="X81" s="150"/>
      <c r="Y81" s="150"/>
      <c r="Z81" s="150"/>
      <c r="AA81" s="150">
        <f>+IF(AA17=0,"",ROUND(AVERAGE(AA34:AE36),0))</f>
        <v>200</v>
      </c>
      <c r="AB81" s="150"/>
      <c r="AC81" s="150"/>
      <c r="AD81" s="150"/>
      <c r="AE81" s="150"/>
      <c r="AF81" s="34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</row>
    <row r="82" spans="1:69" ht="10.95" customHeight="1">
      <c r="A82" s="34"/>
      <c r="B82" s="160" t="s">
        <v>359</v>
      </c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24" t="s">
        <v>288</v>
      </c>
      <c r="O82" s="124"/>
      <c r="P82" s="124"/>
      <c r="Q82" s="161">
        <f>+IF(Q20=0,"",ROUND(AVERAGE(Q37:U38),2))</f>
        <v>100.5</v>
      </c>
      <c r="R82" s="161"/>
      <c r="S82" s="161"/>
      <c r="T82" s="161"/>
      <c r="U82" s="161"/>
      <c r="V82" s="161">
        <f>+IF(V20=0,"",ROUND(AVERAGE(V37:Z38),2))</f>
        <v>101</v>
      </c>
      <c r="W82" s="161"/>
      <c r="X82" s="161"/>
      <c r="Y82" s="161"/>
      <c r="Z82" s="161"/>
      <c r="AA82" s="161">
        <f>+IF(AA20=0,"",ROUND(AVERAGE(AA37:AE38),2))</f>
        <v>100.5</v>
      </c>
      <c r="AB82" s="161"/>
      <c r="AC82" s="161"/>
      <c r="AD82" s="161"/>
      <c r="AE82" s="161"/>
      <c r="AF82" s="34"/>
      <c r="AJ82" s="26"/>
      <c r="AK82" s="26"/>
      <c r="AL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</row>
    <row r="83" spans="1:69" ht="10.95" customHeight="1">
      <c r="A83" s="34"/>
      <c r="B83" s="160" t="s">
        <v>300</v>
      </c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24" t="s">
        <v>301</v>
      </c>
      <c r="O83" s="124"/>
      <c r="P83" s="124"/>
      <c r="Q83" s="150">
        <f>+IF(Q22=0,"",Q22)</f>
        <v>3887</v>
      </c>
      <c r="R83" s="150"/>
      <c r="S83" s="150"/>
      <c r="T83" s="150"/>
      <c r="U83" s="150"/>
      <c r="V83" s="150">
        <f>+IF(V22=0,"",V22)</f>
        <v>3937</v>
      </c>
      <c r="W83" s="150"/>
      <c r="X83" s="150"/>
      <c r="Y83" s="150"/>
      <c r="Z83" s="150"/>
      <c r="AA83" s="150">
        <f>+IF(AA22=0,"",AA22)</f>
        <v>3855</v>
      </c>
      <c r="AB83" s="150"/>
      <c r="AC83" s="150"/>
      <c r="AD83" s="150"/>
      <c r="AE83" s="150"/>
      <c r="AF83" s="34"/>
      <c r="AL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</row>
    <row r="84" spans="1:69" ht="10.95" customHeight="1">
      <c r="A84" s="34"/>
      <c r="B84" s="160" t="s">
        <v>340</v>
      </c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24" t="s">
        <v>240</v>
      </c>
      <c r="O84" s="124"/>
      <c r="P84" s="124"/>
      <c r="Q84" s="149">
        <f>IF(Q81="","",Q81/Q82)</f>
        <v>1.9900497512437811</v>
      </c>
      <c r="R84" s="149"/>
      <c r="S84" s="149"/>
      <c r="T84" s="149"/>
      <c r="U84" s="149"/>
      <c r="V84" s="149">
        <f>IF(V81="","",V81/V82)</f>
        <v>1.9900990099009901</v>
      </c>
      <c r="W84" s="149"/>
      <c r="X84" s="149"/>
      <c r="Y84" s="149"/>
      <c r="Z84" s="149"/>
      <c r="AA84" s="149">
        <f>IF(AA81="","",AA81/AA82)</f>
        <v>1.9900497512437811</v>
      </c>
      <c r="AB84" s="149"/>
      <c r="AC84" s="149"/>
      <c r="AD84" s="149"/>
      <c r="AE84" s="149"/>
      <c r="AF84" s="34"/>
      <c r="AL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</row>
    <row r="85" spans="1:69" ht="12.6" customHeight="1">
      <c r="A85" s="34"/>
      <c r="B85" s="160" t="s">
        <v>341</v>
      </c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24" t="s">
        <v>360</v>
      </c>
      <c r="O85" s="124"/>
      <c r="P85" s="124"/>
      <c r="Q85" s="161">
        <f>IF(Q82="","",(PI()*Q82*Q82)/4)</f>
        <v>7932.7177998550769</v>
      </c>
      <c r="R85" s="161"/>
      <c r="S85" s="161"/>
      <c r="T85" s="161"/>
      <c r="U85" s="161"/>
      <c r="V85" s="161">
        <f>IF(V82="","",(PI()*V82*V82)/4)</f>
        <v>8011.8466648173699</v>
      </c>
      <c r="W85" s="161"/>
      <c r="X85" s="161"/>
      <c r="Y85" s="161"/>
      <c r="Z85" s="161"/>
      <c r="AA85" s="149">
        <f>IF(AA82="","",(PI()*AA82*AA82)/4)</f>
        <v>7932.7177998550769</v>
      </c>
      <c r="AB85" s="149"/>
      <c r="AC85" s="149"/>
      <c r="AD85" s="149"/>
      <c r="AE85" s="149"/>
      <c r="AF85" s="34"/>
      <c r="AL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</row>
    <row r="86" spans="1:69" ht="12.6" customHeight="1">
      <c r="A86" s="34"/>
      <c r="B86" s="160" t="s">
        <v>342</v>
      </c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24" t="s">
        <v>361</v>
      </c>
      <c r="O86" s="124"/>
      <c r="P86" s="124"/>
      <c r="Q86" s="150">
        <f>IF(Q83="","",((Q83/((Q85*Q81)))*1000)*1000)</f>
        <v>2449.9800056362847</v>
      </c>
      <c r="R86" s="150"/>
      <c r="S86" s="150"/>
      <c r="T86" s="150"/>
      <c r="U86" s="150"/>
      <c r="V86" s="150">
        <f>IF(V83="","",((V83/((V85*V81)))*1000)*1000)</f>
        <v>2444.7627988975501</v>
      </c>
      <c r="W86" s="150"/>
      <c r="X86" s="150"/>
      <c r="Y86" s="150"/>
      <c r="Z86" s="150"/>
      <c r="AA86" s="150">
        <f>IF(AA83="","",((AA83/((AA85*AA81)))*1000)*1000)</f>
        <v>2429.8103734828605</v>
      </c>
      <c r="AB86" s="150"/>
      <c r="AC86" s="150"/>
      <c r="AD86" s="150"/>
      <c r="AE86" s="150"/>
      <c r="AF86" s="34"/>
      <c r="AL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</row>
    <row r="87" spans="1:69" ht="3" customHeight="1">
      <c r="A87" s="34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42"/>
      <c r="U87" s="42"/>
      <c r="V87" s="42"/>
      <c r="W87" s="42"/>
      <c r="X87" s="43"/>
      <c r="Y87" s="43"/>
      <c r="Z87" s="43"/>
      <c r="AA87" s="43"/>
      <c r="AB87"/>
      <c r="AC87"/>
      <c r="AD87"/>
      <c r="AE87"/>
      <c r="AF87" s="34"/>
      <c r="AL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</row>
    <row r="88" spans="1:69" ht="12" customHeight="1">
      <c r="A88" s="34"/>
      <c r="B88" s="155" t="s">
        <v>307</v>
      </c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34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</row>
    <row r="89" spans="1:69" ht="12" customHeight="1">
      <c r="A89" s="34"/>
      <c r="B89" s="162" t="s">
        <v>343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31" t="s">
        <v>311</v>
      </c>
      <c r="O89" s="131"/>
      <c r="P89" s="131"/>
      <c r="Q89" s="163">
        <f>IF(Q25=0,"",Q25)</f>
        <v>289.5</v>
      </c>
      <c r="R89" s="163"/>
      <c r="S89" s="163"/>
      <c r="T89" s="163"/>
      <c r="U89" s="163"/>
      <c r="V89" s="163">
        <f>IF(V25=0,"",V25)</f>
        <v>303.89999999999998</v>
      </c>
      <c r="W89" s="163"/>
      <c r="X89" s="163"/>
      <c r="Y89" s="163"/>
      <c r="Z89" s="163"/>
      <c r="AA89" s="163">
        <f>IF(AA25=0,"",AA25)</f>
        <v>283.39999999999998</v>
      </c>
      <c r="AB89" s="163"/>
      <c r="AC89" s="163"/>
      <c r="AD89" s="163"/>
      <c r="AE89" s="163"/>
      <c r="AF89" s="34"/>
      <c r="AH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</row>
    <row r="90" spans="1:69" ht="12" customHeight="1">
      <c r="A90" s="34"/>
      <c r="B90" s="140" t="s">
        <v>344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2"/>
      <c r="N90" s="124" t="s">
        <v>240</v>
      </c>
      <c r="O90" s="124"/>
      <c r="P90" s="124"/>
      <c r="Q90" s="149">
        <f>+(-0.1067*Q84*Q84*Q84*Q84)+(0.8*Q84*Q84*Q84)-(2.2333*Q84*Q84)+(2.83*Q84)-0.42</f>
        <v>0.99878073540449641</v>
      </c>
      <c r="R90" s="149"/>
      <c r="S90" s="149"/>
      <c r="T90" s="149"/>
      <c r="U90" s="149"/>
      <c r="V90" s="149">
        <f>IF(V84="","",(-0.1067*V84*V84*V84*V84)+(0.8*V84*V84*V84)-(2.2333*V84*V84)+(2.83*V84)-0.42)</f>
        <v>0.998784787788777</v>
      </c>
      <c r="W90" s="149"/>
      <c r="X90" s="149"/>
      <c r="Y90" s="149"/>
      <c r="Z90" s="149"/>
      <c r="AA90" s="149">
        <f>IF(AA84="","",(-0.1067*AA84*AA84*AA84*AA84)+(0.8*AA84*AA84*AA84)-(2.2333*AA84*AA84)+(2.83*AA84)-0.42)</f>
        <v>0.99878073540449641</v>
      </c>
      <c r="AB90" s="149"/>
      <c r="AC90" s="149"/>
      <c r="AD90" s="149"/>
      <c r="AE90" s="149"/>
      <c r="AF90" s="34"/>
      <c r="AH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</row>
    <row r="91" spans="1:69" ht="12" customHeight="1">
      <c r="A91" s="34"/>
      <c r="B91" s="164" t="s">
        <v>345</v>
      </c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6"/>
      <c r="N91" s="124" t="s">
        <v>282</v>
      </c>
      <c r="O91" s="124"/>
      <c r="P91" s="124"/>
      <c r="Q91" s="149">
        <f>IF(Q89="","",(Q89*1000/Q85)*Q90)</f>
        <v>36.449931813392396</v>
      </c>
      <c r="R91" s="149"/>
      <c r="S91" s="149"/>
      <c r="T91" s="149"/>
      <c r="U91" s="149"/>
      <c r="V91" s="149">
        <f>IF(V89="","",(V89*1000/V85)*V90)</f>
        <v>37.885235415439439</v>
      </c>
      <c r="W91" s="149"/>
      <c r="X91" s="149"/>
      <c r="Y91" s="149"/>
      <c r="Z91" s="149"/>
      <c r="AA91" s="149">
        <f>IF(AA89="","",(AA89*1000/AA85)*AA90)</f>
        <v>35.681902162056666</v>
      </c>
      <c r="AB91" s="149"/>
      <c r="AC91" s="149"/>
      <c r="AD91" s="149"/>
      <c r="AE91" s="149"/>
      <c r="AF91" s="34"/>
      <c r="AH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</row>
    <row r="92" spans="1:69" ht="12" customHeight="1">
      <c r="A92" s="34"/>
      <c r="B92" s="164" t="s">
        <v>345</v>
      </c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6"/>
      <c r="N92" s="124" t="s">
        <v>281</v>
      </c>
      <c r="O92" s="124"/>
      <c r="P92" s="124"/>
      <c r="Q92" s="149">
        <f>IF(Q91="","",Q91*145.038)</f>
        <v>5286.6252103508068</v>
      </c>
      <c r="R92" s="149"/>
      <c r="S92" s="149"/>
      <c r="T92" s="149"/>
      <c r="U92" s="149"/>
      <c r="V92" s="149">
        <f>IF(V91="","",V91*145.038)</f>
        <v>5494.7987741845054</v>
      </c>
      <c r="W92" s="149"/>
      <c r="X92" s="149"/>
      <c r="Y92" s="149"/>
      <c r="Z92" s="149"/>
      <c r="AA92" s="149">
        <f>IF(AA91="","",AA91*145.038)</f>
        <v>5175.2317257803752</v>
      </c>
      <c r="AB92" s="149"/>
      <c r="AC92" s="149"/>
      <c r="AD92" s="149"/>
      <c r="AE92" s="149"/>
      <c r="AF92" s="34"/>
      <c r="AH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</row>
    <row r="93" spans="1:69" ht="12" customHeight="1">
      <c r="A93" s="34"/>
      <c r="B93" s="164" t="s">
        <v>345</v>
      </c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6"/>
      <c r="N93" s="124" t="s">
        <v>346</v>
      </c>
      <c r="O93" s="124"/>
      <c r="P93" s="124"/>
      <c r="Q93" s="167">
        <f>IF(Q91="","",(Q91/$O$73)*100)</f>
        <v>105.74392751201739</v>
      </c>
      <c r="R93" s="167"/>
      <c r="S93" s="167"/>
      <c r="T93" s="167"/>
      <c r="U93" s="167"/>
      <c r="V93" s="167">
        <f>IF(V91="","",(V91/$O$73)*100)</f>
        <v>109.90784860875962</v>
      </c>
      <c r="W93" s="167"/>
      <c r="X93" s="167"/>
      <c r="Y93" s="167"/>
      <c r="Z93" s="167"/>
      <c r="AA93" s="167">
        <f>IF(AA91="","",(AA91/$O$73)*100)</f>
        <v>103.51581712229958</v>
      </c>
      <c r="AB93" s="167"/>
      <c r="AC93" s="167"/>
      <c r="AD93" s="167"/>
      <c r="AE93" s="167"/>
      <c r="AF93" s="34"/>
      <c r="AH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</row>
    <row r="94" spans="1:69" ht="11.4" customHeight="1">
      <c r="A94" s="34"/>
      <c r="B94" s="164" t="s">
        <v>312</v>
      </c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6"/>
      <c r="N94" s="124" t="s">
        <v>240</v>
      </c>
      <c r="O94" s="124"/>
      <c r="P94" s="124"/>
      <c r="Q94" s="150">
        <f>IF(Q26=0,"",Q26)</f>
        <v>2</v>
      </c>
      <c r="R94" s="150"/>
      <c r="S94" s="150"/>
      <c r="T94" s="150"/>
      <c r="U94" s="150"/>
      <c r="V94" s="150">
        <f>IF(V26=0,"",V26)</f>
        <v>3</v>
      </c>
      <c r="W94" s="150"/>
      <c r="X94" s="150"/>
      <c r="Y94" s="150"/>
      <c r="Z94" s="150"/>
      <c r="AA94" s="150">
        <f>IF(AA26=0,"",AA26)</f>
        <v>3</v>
      </c>
      <c r="AB94" s="150"/>
      <c r="AC94" s="150"/>
      <c r="AD94" s="150"/>
      <c r="AE94" s="150"/>
      <c r="AF94" s="34"/>
      <c r="AP94" s="26"/>
    </row>
    <row r="95" spans="1:69" ht="3" customHeight="1">
      <c r="A95" s="34"/>
      <c r="B95"/>
      <c r="C95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5"/>
      <c r="AA95" s="45"/>
      <c r="AB95" s="45"/>
      <c r="AC95" s="45"/>
      <c r="AD95" s="34"/>
      <c r="AE95" s="34"/>
      <c r="AF95" s="34"/>
    </row>
    <row r="96" spans="1:69" ht="10.199999999999999" customHeight="1">
      <c r="A96" s="34"/>
      <c r="B96" s="155" t="s">
        <v>347</v>
      </c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 t="s">
        <v>348</v>
      </c>
      <c r="Y96" s="155"/>
      <c r="Z96" s="155"/>
      <c r="AA96" s="155"/>
      <c r="AB96" s="175">
        <f>AVERAGE(Q91:AE91)</f>
        <v>36.672356463629505</v>
      </c>
      <c r="AC96" s="155"/>
      <c r="AD96" s="155"/>
      <c r="AE96" s="155"/>
      <c r="AF96" s="34"/>
    </row>
    <row r="97" spans="1:36" ht="10.199999999999999" customHeight="1">
      <c r="A97" s="34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 t="s">
        <v>346</v>
      </c>
      <c r="Y97" s="155"/>
      <c r="Z97" s="155"/>
      <c r="AA97" s="155"/>
      <c r="AB97" s="175">
        <f>AVERAGE(Q93:AE93)</f>
        <v>106.38919774769219</v>
      </c>
      <c r="AC97" s="155"/>
      <c r="AD97" s="155"/>
      <c r="AE97" s="155"/>
      <c r="AF97" s="34"/>
    </row>
    <row r="98" spans="1:36" ht="3" customHeight="1">
      <c r="A98" s="34"/>
      <c r="B98"/>
      <c r="C98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5"/>
      <c r="AA98" s="45"/>
      <c r="AB98" s="45"/>
      <c r="AC98" s="45"/>
      <c r="AD98" s="34"/>
      <c r="AE98" s="34"/>
      <c r="AF98" s="34"/>
    </row>
    <row r="99" spans="1:36" ht="15.6" customHeight="1">
      <c r="A99" s="34"/>
      <c r="B99" s="33" t="s">
        <v>313</v>
      </c>
      <c r="C99"/>
      <c r="D99" s="44"/>
      <c r="E99" s="44"/>
      <c r="F99" s="44"/>
      <c r="G99" s="168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34"/>
    </row>
    <row r="100" spans="1:36" ht="15.6" customHeight="1">
      <c r="A100" s="34"/>
      <c r="B100" s="34"/>
      <c r="C100" s="34"/>
      <c r="D100" s="34"/>
      <c r="E100" s="34"/>
      <c r="F100" s="34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34"/>
    </row>
    <row r="101" spans="1:36" ht="7.2" customHeight="1">
      <c r="A101" s="34"/>
      <c r="B101"/>
      <c r="C101"/>
      <c r="D101" s="44"/>
      <c r="E101" s="44"/>
      <c r="F101" s="44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34"/>
    </row>
    <row r="102" spans="1:36" ht="15" customHeight="1">
      <c r="A102" s="34"/>
      <c r="B102" s="170" t="s">
        <v>349</v>
      </c>
      <c r="C102" s="170"/>
      <c r="D102" s="170"/>
      <c r="E102" s="170"/>
      <c r="F102" s="170"/>
      <c r="G102" s="170"/>
      <c r="H102" s="170"/>
      <c r="I102" s="170"/>
      <c r="J102" s="171" t="str">
        <f>+'[3]NTC 673'!AQ33</f>
        <v>Instalaciones laboratorio IDICOL SAS, Calle 70 A # 52 - 27</v>
      </c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34"/>
    </row>
    <row r="103" spans="1:36" ht="3" customHeight="1">
      <c r="A103" s="34"/>
      <c r="B103"/>
      <c r="C103"/>
      <c r="D103" s="44"/>
      <c r="E103" s="44"/>
      <c r="F103" s="44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34"/>
    </row>
    <row r="104" spans="1:36" ht="15.6" customHeight="1">
      <c r="A104" s="34"/>
      <c r="B104" s="33" t="s">
        <v>315</v>
      </c>
      <c r="C104" s="34"/>
      <c r="D104" s="34"/>
      <c r="E104" s="34"/>
      <c r="F104" s="34"/>
      <c r="G104" s="171" t="str">
        <f>+IF(G45=0,"",G45)</f>
        <v/>
      </c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34"/>
    </row>
    <row r="105" spans="1:36" ht="6" customHeight="1">
      <c r="A105" s="34"/>
      <c r="B105" s="33"/>
      <c r="C105" s="34"/>
      <c r="D105" s="34"/>
      <c r="E105" s="34"/>
      <c r="F105" s="34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4"/>
      <c r="AJ105" s="26"/>
    </row>
    <row r="106" spans="1:36" ht="6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J106" s="26"/>
    </row>
    <row r="107" spans="1:36" ht="12" customHeight="1">
      <c r="A107" s="34"/>
      <c r="B107" s="34"/>
      <c r="C107"/>
      <c r="D107"/>
      <c r="E107"/>
      <c r="F107"/>
      <c r="G107"/>
      <c r="H107"/>
      <c r="I107"/>
      <c r="J107"/>
      <c r="K107"/>
      <c r="L107"/>
      <c r="M107" s="34"/>
      <c r="N107" s="34"/>
      <c r="O107" s="34"/>
      <c r="P107" s="34"/>
      <c r="Q107" s="34"/>
      <c r="R107" s="34"/>
      <c r="S107" s="34"/>
      <c r="T107" s="172" t="str">
        <f ca="1">+D64</f>
        <v>ID-0074045-2026</v>
      </c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34"/>
    </row>
    <row r="108" spans="1:36" ht="12" customHeight="1">
      <c r="A108" s="34"/>
      <c r="B108"/>
      <c r="C108"/>
      <c r="D108"/>
      <c r="E108"/>
      <c r="F108"/>
      <c r="G108"/>
      <c r="H108"/>
      <c r="I108"/>
      <c r="J108"/>
      <c r="K108"/>
      <c r="L108"/>
      <c r="M108"/>
      <c r="N108" s="34"/>
      <c r="O108" s="34"/>
      <c r="P108" s="34"/>
      <c r="Q108" s="34"/>
      <c r="R108" s="34"/>
      <c r="S108" s="34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34"/>
    </row>
    <row r="109" spans="1:36" ht="12" customHeight="1">
      <c r="A109" s="34"/>
      <c r="B109"/>
      <c r="C109"/>
      <c r="D109"/>
      <c r="E109"/>
      <c r="F109"/>
      <c r="G109"/>
      <c r="H109"/>
      <c r="I109"/>
      <c r="J109"/>
      <c r="K109"/>
      <c r="L109"/>
      <c r="M109"/>
      <c r="N109" s="34"/>
      <c r="O109" s="34"/>
      <c r="P109" s="34"/>
      <c r="Q109" s="34"/>
      <c r="R109" s="34"/>
      <c r="S109" s="34"/>
      <c r="T109" s="174" t="s">
        <v>350</v>
      </c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34"/>
    </row>
    <row r="110" spans="1:36" ht="12" customHeight="1">
      <c r="A110" s="34"/>
      <c r="B110"/>
      <c r="C110"/>
      <c r="D110"/>
      <c r="E110"/>
      <c r="F110"/>
      <c r="G110"/>
      <c r="H110"/>
      <c r="I110"/>
      <c r="J110"/>
      <c r="K110"/>
      <c r="L110"/>
      <c r="M110"/>
      <c r="N110" s="34"/>
      <c r="O110" s="34"/>
      <c r="P110" s="34"/>
      <c r="Q110" s="34"/>
      <c r="R110" s="34"/>
      <c r="S110" s="34"/>
      <c r="T110" s="34"/>
      <c r="U110" s="178" t="s">
        <v>351</v>
      </c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34"/>
      <c r="AF110" s="34"/>
    </row>
    <row r="111" spans="1:36" ht="12" customHeight="1">
      <c r="A111" s="34"/>
      <c r="B111"/>
      <c r="C111"/>
      <c r="D111"/>
      <c r="E111"/>
      <c r="F111"/>
      <c r="G111"/>
      <c r="H111"/>
      <c r="I111"/>
      <c r="J111"/>
      <c r="K111"/>
      <c r="L111"/>
      <c r="M111"/>
      <c r="N111" s="34"/>
      <c r="O111" s="34"/>
      <c r="P111" s="34"/>
      <c r="Q111" s="34"/>
      <c r="R111" s="34"/>
      <c r="S111" s="34"/>
      <c r="T111" s="34"/>
      <c r="U111" s="178" t="s">
        <v>352</v>
      </c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34"/>
      <c r="AF111" s="34"/>
    </row>
    <row r="112" spans="1:36" ht="3" customHeight="1">
      <c r="A112" s="34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34"/>
      <c r="AF112" s="34"/>
    </row>
    <row r="113" spans="1:32" ht="10.95" customHeight="1">
      <c r="A113" s="34"/>
      <c r="B113" s="174" t="s">
        <v>353</v>
      </c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34"/>
      <c r="AF113" s="34"/>
    </row>
    <row r="114" spans="1:32" ht="3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</row>
    <row r="115" spans="1:32" ht="7.5" customHeight="1">
      <c r="A115" s="177" t="s">
        <v>354</v>
      </c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  <c r="AE115" s="177"/>
      <c r="AF115" s="177"/>
    </row>
    <row r="116" spans="1:32" ht="7.5" customHeight="1">
      <c r="A116" s="176" t="s">
        <v>355</v>
      </c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</row>
    <row r="117" spans="1:32" ht="7.5" customHeight="1">
      <c r="A117" s="176" t="s">
        <v>356</v>
      </c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176"/>
      <c r="AF117" s="176"/>
    </row>
    <row r="118" spans="1:32" ht="7.5" customHeight="1">
      <c r="A118" s="46"/>
      <c r="B118" s="177" t="s">
        <v>357</v>
      </c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46"/>
      <c r="AF118" s="46"/>
    </row>
    <row r="119" spans="1:32" ht="3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</row>
    <row r="120" spans="1:32">
      <c r="A120" s="34"/>
      <c r="B120" s="178" t="s">
        <v>358</v>
      </c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34"/>
      <c r="AF120" s="34"/>
    </row>
    <row r="121" spans="1:32" ht="12" customHeight="1">
      <c r="A121" s="34"/>
      <c r="B121" s="178" t="str">
        <f>+'[3]NTC 673'!AI34</f>
        <v>IDICOL S.A.S - Calle 70 A No 52 - 27, Bogotá D.C., Colombia / PBX: 7551341 - Cel: 3114853234</v>
      </c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34"/>
      <c r="AF121" s="34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62:C62"/>
    <mergeCell ref="D62:H62"/>
    <mergeCell ref="I62:L62"/>
    <mergeCell ref="M62:P62"/>
    <mergeCell ref="Q62:T62"/>
    <mergeCell ref="U62:Y62"/>
    <mergeCell ref="A65:F65"/>
    <mergeCell ref="G65:J65"/>
    <mergeCell ref="K65:P65"/>
    <mergeCell ref="Q65:U65"/>
    <mergeCell ref="V65:AA65"/>
    <mergeCell ref="G45:AE45"/>
    <mergeCell ref="B41:AE41"/>
    <mergeCell ref="B42:M42"/>
    <mergeCell ref="N42:P42"/>
    <mergeCell ref="Q42:U42"/>
    <mergeCell ref="V42:Z42"/>
    <mergeCell ref="AA42:AE42"/>
    <mergeCell ref="A57:AF57"/>
    <mergeCell ref="A58:R60"/>
    <mergeCell ref="S58:AF61"/>
    <mergeCell ref="A61:R61"/>
    <mergeCell ref="B39:M39"/>
    <mergeCell ref="N39:P39"/>
    <mergeCell ref="Q39:U39"/>
    <mergeCell ref="V39:Z39"/>
    <mergeCell ref="AA39:AE39"/>
    <mergeCell ref="B43:M43"/>
    <mergeCell ref="N43:P43"/>
    <mergeCell ref="Q43:U43"/>
    <mergeCell ref="V43:Z43"/>
    <mergeCell ref="AA43:AE43"/>
    <mergeCell ref="B37:M38"/>
    <mergeCell ref="N37:P37"/>
    <mergeCell ref="Q37:U37"/>
    <mergeCell ref="V37:Z37"/>
    <mergeCell ref="AA37:AE37"/>
    <mergeCell ref="N38:P38"/>
    <mergeCell ref="Q38:U38"/>
    <mergeCell ref="V38:Z38"/>
    <mergeCell ref="AA38:AE38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AA35:AE35"/>
    <mergeCell ref="N36:P36"/>
    <mergeCell ref="Q36:U36"/>
    <mergeCell ref="V36:Z36"/>
    <mergeCell ref="AA36:AE36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Y4:BC4"/>
    <mergeCell ref="BD4:BI4"/>
    <mergeCell ref="BJ4:BN4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4:F4"/>
    <mergeCell ref="G4:J4"/>
    <mergeCell ref="K4:P4"/>
    <mergeCell ref="Q4:U4"/>
    <mergeCell ref="V4:AA4"/>
    <mergeCell ref="AB4:AF4"/>
    <mergeCell ref="AI4:AN4"/>
    <mergeCell ref="AO4:AR4"/>
    <mergeCell ref="AS4:AX4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Z6:BB6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  <mergeCell ref="AS3:AX3"/>
    <mergeCell ref="AY3:BC3"/>
    <mergeCell ref="BD3:BI3"/>
    <mergeCell ref="BJ3:BN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INV E 410</vt:lpstr>
      <vt:lpstr>Pendientes_Generar</vt:lpstr>
      <vt:lpstr>Data_final</vt:lpstr>
      <vt:lpstr>INV410INF</vt:lpstr>
      <vt:lpstr>INV410INF!Área_de_impresión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2026-04-04T04:54:57Z</dcterms:created>
  <dcterms:modified xsi:type="dcterms:W3CDTF">2026-04-04T17:30:10Z</dcterms:modified>
</cp:coreProperties>
</file>