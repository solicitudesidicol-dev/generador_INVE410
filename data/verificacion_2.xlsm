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dico\Documents\custom_excel\data\"/>
    </mc:Choice>
  </mc:AlternateContent>
  <xr:revisionPtr revIDLastSave="0" documentId="13_ncr:1_{185E9662-5345-4FD1-A0E7-527C1D9BAAC8}" xr6:coauthVersionLast="47" xr6:coauthVersionMax="47" xr10:uidLastSave="{00000000-0000-0000-0000-000000000000}"/>
  <bookViews>
    <workbookView xWindow="-120" yWindow="-120" windowWidth="29040" windowHeight="15720" activeTab="1" xr2:uid="{F8D2C8BB-BD25-4C79-86DD-CDC7DF9ED30F}"/>
  </bookViews>
  <sheets>
    <sheet name="INV410 C" sheetId="7" r:id="rId1"/>
    <sheet name="INV E 410" sheetId="1" r:id="rId2"/>
    <sheet name="Pendientes_Generar" sheetId="5" r:id="rId3"/>
    <sheet name="Data_final" sheetId="3" r:id="rId4"/>
    <sheet name="INV410INF" sheetId="4" r:id="rId5"/>
  </sheets>
  <externalReferences>
    <externalReference r:id="rId6"/>
    <externalReference r:id="rId7"/>
  </externalReferences>
  <definedNames>
    <definedName name="\0">#REF!</definedName>
    <definedName name="\d">#REF!</definedName>
    <definedName name="\g">#REF!</definedName>
    <definedName name="\m">#REF!</definedName>
    <definedName name="\n">#REF!</definedName>
    <definedName name="\p">#REF!</definedName>
    <definedName name="\w">#REF!</definedName>
    <definedName name="___________________ddd1">#REF!</definedName>
    <definedName name="___________________L1">#REF!</definedName>
    <definedName name="___________________L2">#REF!</definedName>
    <definedName name="_________________a03">#REF!</definedName>
    <definedName name="_________________A1">#REF!</definedName>
    <definedName name="_________________A25">#REF!</definedName>
    <definedName name="_________________ddd1">#REF!</definedName>
    <definedName name="_________________JJ1">#REF!</definedName>
    <definedName name="_________________K1">#REF!</definedName>
    <definedName name="_________________L1">#REF!</definedName>
    <definedName name="_________________L2">#REF!</definedName>
    <definedName name="________________a03">#REF!</definedName>
    <definedName name="________________A1">#REF!</definedName>
    <definedName name="________________A25">#REF!</definedName>
    <definedName name="________________CD1">#REF!</definedName>
    <definedName name="________________ddd1">#REF!</definedName>
    <definedName name="________________G2">#REF!</definedName>
    <definedName name="________________JJ1">#REF!</definedName>
    <definedName name="________________K1">#REF!</definedName>
    <definedName name="________________L1">#REF!</definedName>
    <definedName name="________________L2">#REF!</definedName>
    <definedName name="________________R">#REF!</definedName>
    <definedName name="_______________a03">#REF!</definedName>
    <definedName name="_______________A1">#REF!</definedName>
    <definedName name="_______________A25">#REF!</definedName>
    <definedName name="_______________CD1">#REF!</definedName>
    <definedName name="_______________ddd1">#REF!</definedName>
    <definedName name="_______________G2">#REF!</definedName>
    <definedName name="_______________JJ1">#REF!</definedName>
    <definedName name="_______________K1">#REF!</definedName>
    <definedName name="_______________L1">#REF!</definedName>
    <definedName name="_______________L2">#REF!</definedName>
    <definedName name="_______________R">#REF!</definedName>
    <definedName name="______________a03">#REF!</definedName>
    <definedName name="______________A1">#REF!</definedName>
    <definedName name="______________A25">#REF!</definedName>
    <definedName name="______________CD1">#REF!</definedName>
    <definedName name="______________ddd1">#REF!</definedName>
    <definedName name="______________G2">#REF!</definedName>
    <definedName name="______________JJ1">#REF!</definedName>
    <definedName name="______________K1">#REF!</definedName>
    <definedName name="______________L1">#REF!</definedName>
    <definedName name="______________L2">#REF!</definedName>
    <definedName name="______________R">#REF!</definedName>
    <definedName name="_____________a03">#REF!</definedName>
    <definedName name="_____________A1">#REF!</definedName>
    <definedName name="_____________A25">#REF!</definedName>
    <definedName name="_____________CD1">#REF!</definedName>
    <definedName name="_____________G2">#REF!</definedName>
    <definedName name="_____________JJ1">#REF!</definedName>
    <definedName name="_____________K1">#REF!</definedName>
    <definedName name="_____________R">#REF!</definedName>
    <definedName name="____________a03">#REF!</definedName>
    <definedName name="____________A1">#REF!</definedName>
    <definedName name="____________A25">#REF!</definedName>
    <definedName name="____________CD1">#REF!</definedName>
    <definedName name="____________ddd1">#REF!</definedName>
    <definedName name="____________G2">#REF!</definedName>
    <definedName name="____________JJ1">#REF!</definedName>
    <definedName name="____________K1">#REF!</definedName>
    <definedName name="____________L1">#REF!</definedName>
    <definedName name="____________L2">#REF!</definedName>
    <definedName name="____________R">#REF!</definedName>
    <definedName name="___________a03">#REF!</definedName>
    <definedName name="___________A1">#REF!</definedName>
    <definedName name="___________A25">#REF!</definedName>
    <definedName name="___________CD1">#REF!</definedName>
    <definedName name="___________ddd1">#REF!</definedName>
    <definedName name="___________G2">#REF!</definedName>
    <definedName name="___________JJ1">#REF!</definedName>
    <definedName name="___________K1">#REF!</definedName>
    <definedName name="___________L1">#REF!</definedName>
    <definedName name="___________L2">#REF!</definedName>
    <definedName name="___________R">#REF!</definedName>
    <definedName name="__________a03">#REF!</definedName>
    <definedName name="__________A1">#REF!</definedName>
    <definedName name="__________A25">#REF!</definedName>
    <definedName name="__________CD1">#REF!</definedName>
    <definedName name="__________ddd1">#REF!</definedName>
    <definedName name="__________G2">#REF!</definedName>
    <definedName name="__________JJ1">#REF!</definedName>
    <definedName name="__________K1">#REF!</definedName>
    <definedName name="__________L1">#REF!</definedName>
    <definedName name="__________L2">#REF!</definedName>
    <definedName name="__________R">#REF!</definedName>
    <definedName name="_________a03">#REF!</definedName>
    <definedName name="_________A1">#REF!</definedName>
    <definedName name="_________A25">#REF!</definedName>
    <definedName name="_________CD1">#REF!</definedName>
    <definedName name="_________ddd1">#REF!</definedName>
    <definedName name="_________G2">#REF!</definedName>
    <definedName name="_________JJ1">#REF!</definedName>
    <definedName name="_________K1">#REF!</definedName>
    <definedName name="_________L1">#REF!</definedName>
    <definedName name="_________L2">#REF!</definedName>
    <definedName name="_________R">#REF!</definedName>
    <definedName name="________a03">#REF!</definedName>
    <definedName name="________A1">#REF!</definedName>
    <definedName name="________A25">#REF!</definedName>
    <definedName name="________CD1">#REF!</definedName>
    <definedName name="________ddd1">#REF!</definedName>
    <definedName name="________G2">#REF!</definedName>
    <definedName name="________JJ1">#REF!</definedName>
    <definedName name="________K1">#REF!</definedName>
    <definedName name="________L1">#REF!</definedName>
    <definedName name="________L2">#REF!</definedName>
    <definedName name="________R">#REF!</definedName>
    <definedName name="_______a03">#REF!</definedName>
    <definedName name="_______A1">#REF!</definedName>
    <definedName name="_______A25">#REF!</definedName>
    <definedName name="_______CD1">#REF!</definedName>
    <definedName name="_______ddd1">#REF!</definedName>
    <definedName name="_______G2">#REF!</definedName>
    <definedName name="_______JJ1">#REF!</definedName>
    <definedName name="_______K1">#REF!</definedName>
    <definedName name="_______L1">#REF!</definedName>
    <definedName name="_______L2">#REF!</definedName>
    <definedName name="_______R">#REF!</definedName>
    <definedName name="______a03">#REF!</definedName>
    <definedName name="______A1">#REF!</definedName>
    <definedName name="______A25">#REF!</definedName>
    <definedName name="______CD1">#REF!</definedName>
    <definedName name="______ddd1">#REF!</definedName>
    <definedName name="______G2">#REF!</definedName>
    <definedName name="______JJ1">#REF!</definedName>
    <definedName name="______K1">#REF!</definedName>
    <definedName name="______L1">#REF!</definedName>
    <definedName name="______L2">#REF!</definedName>
    <definedName name="______R">#REF!</definedName>
    <definedName name="_____a03">#REF!</definedName>
    <definedName name="_____A1">#REF!</definedName>
    <definedName name="_____A25">#REF!</definedName>
    <definedName name="_____CD1">#REF!</definedName>
    <definedName name="_____ddd1">#REF!</definedName>
    <definedName name="_____G2">#REF!</definedName>
    <definedName name="_____JJ1">#REF!</definedName>
    <definedName name="_____K1">#REF!</definedName>
    <definedName name="_____L1">#REF!</definedName>
    <definedName name="_____L2">#REF!</definedName>
    <definedName name="_____R">#REF!</definedName>
    <definedName name="____a03">#REF!</definedName>
    <definedName name="____A1">#REF!</definedName>
    <definedName name="____A25">#REF!</definedName>
    <definedName name="____CD1">#REF!</definedName>
    <definedName name="____ddd1">#REF!</definedName>
    <definedName name="____G2">#REF!</definedName>
    <definedName name="____JJ1">#REF!</definedName>
    <definedName name="____K1">#REF!</definedName>
    <definedName name="____L1">#REF!</definedName>
    <definedName name="____L2">#REF!</definedName>
    <definedName name="____R">#REF!</definedName>
    <definedName name="___a03">#REF!</definedName>
    <definedName name="___A1">#REF!</definedName>
    <definedName name="___A25">#REF!</definedName>
    <definedName name="___CD1">#REF!</definedName>
    <definedName name="___ddd1">#REF!</definedName>
    <definedName name="___G2">#REF!</definedName>
    <definedName name="___JJ1">#REF!</definedName>
    <definedName name="___K1">#REF!</definedName>
    <definedName name="___L1">#REF!</definedName>
    <definedName name="___L2">#REF!</definedName>
    <definedName name="___R">#REF!</definedName>
    <definedName name="__a03">#REF!</definedName>
    <definedName name="__A1">#REF!</definedName>
    <definedName name="__A25">#REF!</definedName>
    <definedName name="__CD1">#REF!</definedName>
    <definedName name="__ddd1">#REF!</definedName>
    <definedName name="__G2">#REF!</definedName>
    <definedName name="__JJ1">#REF!</definedName>
    <definedName name="__K1">#REF!</definedName>
    <definedName name="__L1">#REF!</definedName>
    <definedName name="__L2">#REF!</definedName>
    <definedName name="__R">#REF!</definedName>
    <definedName name="_a03">#REF!</definedName>
    <definedName name="_A1">#REF!</definedName>
    <definedName name="_A25">#REF!</definedName>
    <definedName name="_CD1">#REF!</definedName>
    <definedName name="_ddd1">#REF!</definedName>
    <definedName name="_G2">#REF!</definedName>
    <definedName name="_JJ1">#REF!</definedName>
    <definedName name="_K1">#REF!</definedName>
    <definedName name="_L1">#REF!</definedName>
    <definedName name="_L2">#REF!</definedName>
    <definedName name="_R">#REF!</definedName>
    <definedName name="_Regression_Out" hidden="1">[1]L!#REF!</definedName>
    <definedName name="_Regression_X" hidden="1">#REF!</definedName>
    <definedName name="_Regression_Y" hidden="1">#REF!</definedName>
    <definedName name="A">#REF!</definedName>
    <definedName name="A_IMPRESIÓN_IM">#REF!</definedName>
    <definedName name="aa">#REF!</definedName>
    <definedName name="AAA">#REF!</definedName>
    <definedName name="AAAA">#REF!</definedName>
    <definedName name="AAAAA">#REF!</definedName>
    <definedName name="AAAAAA">#REF!</definedName>
    <definedName name="AAAAAAAA">#REF!</definedName>
    <definedName name="aaaaasssss">#REF!</definedName>
    <definedName name="AD">#REF!</definedName>
    <definedName name="ada">#REF!</definedName>
    <definedName name="adfg">#REF!</definedName>
    <definedName name="ADS">#REF!</definedName>
    <definedName name="AER">#REF!</definedName>
    <definedName name="AG">#REF!</definedName>
    <definedName name="AQ">#REF!</definedName>
    <definedName name="AR">#REF!</definedName>
    <definedName name="_xlnm.Print_Area" localSheetId="4">INV410INF!$A$57:$AF$121</definedName>
    <definedName name="azs">#REF!</definedName>
    <definedName name="barrenos">#REF!</definedName>
    <definedName name="BCGDTE">#REF!</definedName>
    <definedName name="C.B.R._USME">#REF!</definedName>
    <definedName name="C.B.R_Usme">#REF!</definedName>
    <definedName name="C_B_R_USME">#REF!</definedName>
    <definedName name="CARLOS">#REF!</definedName>
    <definedName name="CBI">#REF!</definedName>
    <definedName name="CBR">#REF!</definedName>
    <definedName name="CDSAF">#REF!</definedName>
    <definedName name="Clasificacion" localSheetId="4">[2]!Clasificacion</definedName>
    <definedName name="Clasificacion" localSheetId="2">[2]!Clasificacion</definedName>
    <definedName name="Clasificacion">[2]!Clasificacion</definedName>
    <definedName name="COM">#REF!</definedName>
    <definedName name="Consulta_desde_idicolsrv" localSheetId="0" hidden="1">'INV410 C'!$A$1:$AX$9</definedName>
    <definedName name="coto">#REF!</definedName>
    <definedName name="CUA">#REF!</definedName>
    <definedName name="CUADR1">#REF!</definedName>
    <definedName name="CUADRL">#REF!</definedName>
    <definedName name="CUADRO">#REF!</definedName>
    <definedName name="CUADROL">#REF!</definedName>
    <definedName name="CUAL">#REF!</definedName>
    <definedName name="CUAR">#REF!</definedName>
    <definedName name="cuasg">#REF!</definedName>
    <definedName name="CVCA">#REF!</definedName>
    <definedName name="D">#REF!</definedName>
    <definedName name="DA">#REF!</definedName>
    <definedName name="dad">#REF!</definedName>
    <definedName name="DAFGAFD">#REF!</definedName>
    <definedName name="DAN">#REF!</definedName>
    <definedName name="dani">#REF!</definedName>
    <definedName name="daniel">#REF!</definedName>
    <definedName name="DANIELANTTNIO">#REF!</definedName>
    <definedName name="DANJYP">#REF!</definedName>
    <definedName name="dar">#REF!</definedName>
    <definedName name="das">#REF!</definedName>
    <definedName name="dasef">#REF!</definedName>
    <definedName name="ddd">#REF!</definedName>
    <definedName name="dddd">#REF!</definedName>
    <definedName name="der">#REF!</definedName>
    <definedName name="desg">#REF!</definedName>
    <definedName name="DESGASTE">#REF!</definedName>
    <definedName name="dgdgdg">#REF!</definedName>
    <definedName name="dgdgfe">#REF!</definedName>
    <definedName name="DIANA">#REF!</definedName>
    <definedName name="dies">#REF!</definedName>
    <definedName name="DLKFK">#REF!</definedName>
    <definedName name="DLKFO">#REF!</definedName>
    <definedName name="DLKFR">#REF!</definedName>
    <definedName name="DRLF">#REF!</definedName>
    <definedName name="drrr">#REF!</definedName>
    <definedName name="DSA">#REF!</definedName>
    <definedName name="DSWE">#REF!</definedName>
    <definedName name="ECUAL">#REF!</definedName>
    <definedName name="EDDC">#REF!</definedName>
    <definedName name="er">#REF!</definedName>
    <definedName name="ERGRTH">#REF!</definedName>
    <definedName name="ERTER">#REF!</definedName>
    <definedName name="ESPECIFICACIÓN">#REF!</definedName>
    <definedName name="FDEAGEAR">#REF!</definedName>
    <definedName name="fdefd">#REF!</definedName>
    <definedName name="FDG">#REF!</definedName>
    <definedName name="FDV">#REF!</definedName>
    <definedName name="fff">#REF!</definedName>
    <definedName name="FFFF">#REF!</definedName>
    <definedName name="FFOI">#REF!</definedName>
    <definedName name="FGBFG">#REF!</definedName>
    <definedName name="fgdfg">#REF!</definedName>
    <definedName name="FGFDGFD">#REF!</definedName>
    <definedName name="FGH">#REF!</definedName>
    <definedName name="FGHH">#REF!</definedName>
    <definedName name="FGWERGWER">#REF!</definedName>
    <definedName name="fr">#REF!</definedName>
    <definedName name="frank">#REF!</definedName>
    <definedName name="frnkl">#REF!</definedName>
    <definedName name="fvg">#REF!</definedName>
    <definedName name="G">#REF!</definedName>
    <definedName name="gdd">#REF!</definedName>
    <definedName name="gdfg">#REF!</definedName>
    <definedName name="gdfr">#REF!</definedName>
    <definedName name="gdgd">#REF!</definedName>
    <definedName name="GG">#REF!</definedName>
    <definedName name="GHSFDGH">#REF!</definedName>
    <definedName name="GHSGH">#REF!</definedName>
    <definedName name="GRA">#REF!</definedName>
    <definedName name="GRAF">#REF!</definedName>
    <definedName name="grt">#REF!</definedName>
    <definedName name="GRTRT">#REF!</definedName>
    <definedName name="HNMGH">#REF!</definedName>
    <definedName name="hsth">#REF!</definedName>
    <definedName name="hytu">#REF!</definedName>
    <definedName name="ICUA">#REF!</definedName>
    <definedName name="III">#REF!</definedName>
    <definedName name="in">#REF!</definedName>
    <definedName name="iuty">#REF!</definedName>
    <definedName name="J.J">#REF!</definedName>
    <definedName name="J.J5">#REF!</definedName>
    <definedName name="JAIME">#REF!</definedName>
    <definedName name="JHKMJH">#REF!</definedName>
    <definedName name="jirafa">#REF!</definedName>
    <definedName name="JJUUI">#REF!</definedName>
    <definedName name="jkdfhlkudsgh">#REF!</definedName>
    <definedName name="JKJK">#REF!</definedName>
    <definedName name="jose">#REF!</definedName>
    <definedName name="JUAN">#REF!</definedName>
    <definedName name="JUANA">#REF!</definedName>
    <definedName name="JUANAROJAS">#REF!</definedName>
    <definedName name="julio">#REF!</definedName>
    <definedName name="JUSNSNS">#REF!</definedName>
    <definedName name="K">#REF!</definedName>
    <definedName name="KIU">#REF!</definedName>
    <definedName name="KJUI">#REF!</definedName>
    <definedName name="KKIIOO">#REF!</definedName>
    <definedName name="KOIUIYUU">#REF!</definedName>
    <definedName name="KOP">#REF!</definedName>
    <definedName name="KSUDUD">#REF!</definedName>
    <definedName name="kui">#REF!</definedName>
    <definedName name="LGSDGHGGSDF">#REF!</definedName>
    <definedName name="limite">#REF!</definedName>
    <definedName name="limites">#REF!</definedName>
    <definedName name="liz">#REF!</definedName>
    <definedName name="lll">#REF!</definedName>
    <definedName name="LLLA">#REF!</definedName>
    <definedName name="llll">#REF!</definedName>
    <definedName name="LLLLLF">#REF!</definedName>
    <definedName name="LLSOOS">#REF!</definedName>
    <definedName name="locali">#REF!</definedName>
    <definedName name="LUIS">#REF!</definedName>
    <definedName name="LUISJUAN">#REF!</definedName>
    <definedName name="lusi">#REF!</definedName>
    <definedName name="M">#REF!</definedName>
    <definedName name="MAURICIO">#REF!</definedName>
    <definedName name="mert">#REF!</definedName>
    <definedName name="mico">#REF!</definedName>
    <definedName name="MMMMM">#REF!</definedName>
    <definedName name="nhg">#REF!</definedName>
    <definedName name="NLL">"Rectángulo 9"</definedName>
    <definedName name="NONONONO">#REF!</definedName>
    <definedName name="Ñ">#REF!</definedName>
    <definedName name="ÑÑ">#REF!</definedName>
    <definedName name="ÑÑÑ">#REF!</definedName>
    <definedName name="ÑO">#REF!</definedName>
    <definedName name="º">#REF!</definedName>
    <definedName name="oiu">#REF!</definedName>
    <definedName name="OL">#REF!</definedName>
    <definedName name="olga">#REF!</definedName>
    <definedName name="P">#REF!</definedName>
    <definedName name="pdc">#REF!</definedName>
    <definedName name="perfil">#REF!</definedName>
    <definedName name="pñlkj">#REF!</definedName>
    <definedName name="por">#REF!</definedName>
    <definedName name="pou">#REF!</definedName>
    <definedName name="PR">#REF!</definedName>
    <definedName name="PU">#REF!</definedName>
    <definedName name="qwe">#REF!</definedName>
    <definedName name="RE">#REF!</definedName>
    <definedName name="REE">#REF!</definedName>
    <definedName name="RGREG">#REF!</definedName>
    <definedName name="rr">#REF!</definedName>
    <definedName name="SDASFD">#REF!</definedName>
    <definedName name="sds">#REF!</definedName>
    <definedName name="SEW">#REF!</definedName>
    <definedName name="SGH">#REF!</definedName>
    <definedName name="SI">#REF!</definedName>
    <definedName name="SISISISI">#REF!</definedName>
    <definedName name="sjdjhfdggf">#REF!</definedName>
    <definedName name="slskjsjs">#REF!</definedName>
    <definedName name="smi">#REF!</definedName>
    <definedName name="sojo">#REF!</definedName>
    <definedName name="sososo">#REF!</definedName>
    <definedName name="SS">#REF!</definedName>
    <definedName name="sss">#REF!</definedName>
    <definedName name="TGHSTH">#REF!</definedName>
    <definedName name="THH">#REF!</definedName>
    <definedName name="toro">#REF!</definedName>
    <definedName name="TRYYT">#REF!</definedName>
    <definedName name="U">#REF!</definedName>
    <definedName name="vvvvvvvv">#REF!</definedName>
    <definedName name="wqe">#REF!</definedName>
    <definedName name="wqerrt">#REF!</definedName>
    <definedName name="wre">#REF!</definedName>
    <definedName name="XSEP">#REF!</definedName>
    <definedName name="zape">#REF!</definedName>
    <definedName name="ZDFGR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4" i="4" l="1"/>
  <c r="G99" i="4"/>
  <c r="AA94" i="4"/>
  <c r="V94" i="4"/>
  <c r="Q94" i="4"/>
  <c r="AA89" i="4"/>
  <c r="V89" i="4"/>
  <c r="Q89" i="4"/>
  <c r="AA83" i="4"/>
  <c r="V83" i="4"/>
  <c r="Q83" i="4"/>
  <c r="Q76" i="4"/>
  <c r="Q75" i="4"/>
  <c r="N76" i="4" s="1"/>
  <c r="O73" i="4"/>
  <c r="W73" i="4" s="1"/>
  <c r="F73" i="4"/>
  <c r="G69" i="4"/>
  <c r="N68" i="4"/>
  <c r="G68" i="4"/>
  <c r="AD67" i="4"/>
  <c r="X67" i="4"/>
  <c r="R67" i="4"/>
  <c r="G67" i="4"/>
  <c r="G66" i="4"/>
  <c r="AB65" i="4"/>
  <c r="Q65" i="4"/>
  <c r="AC73" i="4" s="1"/>
  <c r="G65" i="4"/>
  <c r="AB64" i="4"/>
  <c r="Q64" i="4"/>
  <c r="J64" i="4"/>
  <c r="AA43" i="4"/>
  <c r="V43" i="4"/>
  <c r="Q43" i="4"/>
  <c r="AA42" i="4"/>
  <c r="V42" i="4"/>
  <c r="Q42" i="4"/>
  <c r="AA39" i="4"/>
  <c r="V39" i="4"/>
  <c r="Q39" i="4"/>
  <c r="AA38" i="4"/>
  <c r="V38" i="4"/>
  <c r="Q38" i="4"/>
  <c r="AA37" i="4"/>
  <c r="AA82" i="4" s="1"/>
  <c r="AA85" i="4" s="1"/>
  <c r="V37" i="4"/>
  <c r="V82" i="4" s="1"/>
  <c r="V85" i="4" s="1"/>
  <c r="Q37" i="4"/>
  <c r="Q82" i="4" s="1"/>
  <c r="Q85" i="4" s="1"/>
  <c r="AA36" i="4"/>
  <c r="V36" i="4"/>
  <c r="Q36" i="4"/>
  <c r="AA35" i="4"/>
  <c r="V35" i="4"/>
  <c r="Q35" i="4"/>
  <c r="AA34" i="4"/>
  <c r="AA81" i="4" s="1"/>
  <c r="AA84" i="4" s="1"/>
  <c r="AA90" i="4" s="1"/>
  <c r="V34" i="4"/>
  <c r="V81" i="4" s="1"/>
  <c r="V84" i="4" s="1"/>
  <c r="V90" i="4" s="1"/>
  <c r="Q34" i="4"/>
  <c r="Q81" i="4" s="1"/>
  <c r="Q84" i="4" s="1"/>
  <c r="Q90" i="4" s="1"/>
  <c r="AH26" i="4"/>
  <c r="AL14" i="4"/>
  <c r="Q14" i="4"/>
  <c r="Q77" i="4" s="1"/>
  <c r="N13" i="4"/>
  <c r="BY2" i="4"/>
  <c r="BY4" i="4" s="1"/>
  <c r="BW2" i="4"/>
  <c r="BW3" i="4" s="1"/>
  <c r="BV2" i="4"/>
  <c r="BK9" i="1" a="1"/>
  <c r="BK9" i="1" s="1"/>
  <c r="BG9" i="1" a="1"/>
  <c r="BG9" i="1" s="1"/>
  <c r="BC9" i="1" a="1"/>
  <c r="BC9" i="1" s="1"/>
  <c r="AZ9" i="1"/>
  <c r="BK8" i="1" a="1"/>
  <c r="BK8" i="1" s="1"/>
  <c r="BG8" i="1" a="1"/>
  <c r="BG8" i="1" s="1"/>
  <c r="BC8" i="1" a="1"/>
  <c r="BC8" i="1" s="1"/>
  <c r="AZ8" i="1"/>
  <c r="BK7" i="1" a="1"/>
  <c r="BK7" i="1" s="1"/>
  <c r="BG7" i="1" a="1"/>
  <c r="BG7" i="1" s="1"/>
  <c r="BC7" i="1" a="1"/>
  <c r="BC7" i="1" s="1"/>
  <c r="AZ7" i="1"/>
  <c r="BK6" i="1" a="1"/>
  <c r="BK6" i="1" s="1"/>
  <c r="BG6" i="1" a="1"/>
  <c r="BG6" i="1" s="1"/>
  <c r="BC6" i="1" a="1"/>
  <c r="BC6" i="1" s="1"/>
  <c r="AZ6" i="1"/>
  <c r="BK5" i="1" a="1"/>
  <c r="BK5" i="1" s="1"/>
  <c r="BG5" i="1" a="1"/>
  <c r="BG5" i="1" s="1"/>
  <c r="BC5" i="1" a="1"/>
  <c r="BC5" i="1" s="1"/>
  <c r="AZ5" i="1"/>
  <c r="BK4" i="1" a="1"/>
  <c r="BK4" i="1" s="1"/>
  <c r="BG4" i="1" a="1"/>
  <c r="BG4" i="1" s="1"/>
  <c r="BC4" i="1" a="1"/>
  <c r="BC4" i="1" s="1"/>
  <c r="AZ4" i="1"/>
  <c r="BK3" i="1" a="1"/>
  <c r="BK3" i="1" s="1"/>
  <c r="BG3" i="1" a="1"/>
  <c r="BG3" i="1" s="1"/>
  <c r="BC3" i="1" a="1"/>
  <c r="BC3" i="1" s="1"/>
  <c r="AZ3" i="1"/>
  <c r="BK2" i="1" a="1"/>
  <c r="BK2" i="1" s="1"/>
  <c r="BG2" i="1" a="1"/>
  <c r="BG2" i="1" s="1"/>
  <c r="BC2" i="1" a="1"/>
  <c r="BC2" i="1" s="1"/>
  <c r="AZ2" i="1"/>
  <c r="BL5" i="1" l="1"/>
  <c r="BM5" i="1" s="1"/>
  <c r="BJ5" i="1" a="1"/>
  <c r="BJ5" i="1" s="1"/>
  <c r="BY5" i="1" s="1"/>
  <c r="BD5" i="1"/>
  <c r="BE5" i="1" s="1"/>
  <c r="BB5" i="1" a="1"/>
  <c r="BB5" i="1" s="1"/>
  <c r="BW5" i="1" s="1"/>
  <c r="BF6" i="1" a="1"/>
  <c r="BF6" i="1" s="1"/>
  <c r="BX6" i="1" s="1"/>
  <c r="BH6" i="1"/>
  <c r="BI6" i="1" s="1"/>
  <c r="BB6" i="1" a="1"/>
  <c r="BB6" i="1" s="1"/>
  <c r="BW6" i="1" s="1"/>
  <c r="BD6" i="1"/>
  <c r="BL9" i="1"/>
  <c r="BM9" i="1" s="1"/>
  <c r="BJ9" i="1" a="1"/>
  <c r="BJ9" i="1" s="1"/>
  <c r="BY9" i="1" s="1"/>
  <c r="BH9" i="1"/>
  <c r="BI9" i="1" s="1"/>
  <c r="BF9" i="1" a="1"/>
  <c r="BF9" i="1" s="1"/>
  <c r="BX9" i="1" s="1"/>
  <c r="BB9" i="1" a="1"/>
  <c r="BB9" i="1" s="1"/>
  <c r="BW9" i="1" s="1"/>
  <c r="BD9" i="1"/>
  <c r="BJ8" i="1" a="1"/>
  <c r="BJ8" i="1" s="1"/>
  <c r="BY8" i="1" s="1"/>
  <c r="BL8" i="1"/>
  <c r="BM8" i="1" s="1"/>
  <c r="BF8" i="1" a="1"/>
  <c r="BF8" i="1" s="1"/>
  <c r="BX8" i="1" s="1"/>
  <c r="BH8" i="1"/>
  <c r="BI8" i="1" s="1"/>
  <c r="BB8" i="1" a="1"/>
  <c r="BB8" i="1" s="1"/>
  <c r="BW8" i="1" s="1"/>
  <c r="BD8" i="1"/>
  <c r="BJ7" i="1" a="1"/>
  <c r="BJ7" i="1" s="1"/>
  <c r="BY7" i="1" s="1"/>
  <c r="BL7" i="1"/>
  <c r="BM7" i="1" s="1"/>
  <c r="BF7" i="1" a="1"/>
  <c r="BF7" i="1" s="1"/>
  <c r="BX7" i="1" s="1"/>
  <c r="BH7" i="1"/>
  <c r="BD7" i="1"/>
  <c r="BE7" i="1" s="1"/>
  <c r="BB7" i="1" a="1"/>
  <c r="BB7" i="1" s="1"/>
  <c r="BW7" i="1" s="1"/>
  <c r="BJ6" i="1" a="1"/>
  <c r="BJ6" i="1" s="1"/>
  <c r="BY6" i="1" s="1"/>
  <c r="BL6" i="1"/>
  <c r="BM6" i="1" s="1"/>
  <c r="BF5" i="1" a="1"/>
  <c r="BF5" i="1" s="1"/>
  <c r="BX5" i="1" s="1"/>
  <c r="BH5" i="1"/>
  <c r="BL4" i="1"/>
  <c r="BM4" i="1" s="1"/>
  <c r="BJ4" i="1" a="1"/>
  <c r="BJ4" i="1" s="1"/>
  <c r="BY4" i="1" s="1"/>
  <c r="BF4" i="1" a="1"/>
  <c r="BF4" i="1" s="1"/>
  <c r="BX4" i="1" s="1"/>
  <c r="BH4" i="1"/>
  <c r="BI4" i="1" s="1"/>
  <c r="BB4" i="1" a="1"/>
  <c r="BB4" i="1" s="1"/>
  <c r="BW4" i="1" s="1"/>
  <c r="BD4" i="1"/>
  <c r="BJ3" i="1" a="1"/>
  <c r="BJ3" i="1" s="1"/>
  <c r="BY3" i="1" s="1"/>
  <c r="BL3" i="1"/>
  <c r="BM3" i="1" s="1"/>
  <c r="BH3" i="1"/>
  <c r="BI3" i="1" s="1"/>
  <c r="BF3" i="1" a="1"/>
  <c r="BF3" i="1" s="1"/>
  <c r="BX3" i="1" s="1"/>
  <c r="BR8" i="1"/>
  <c r="BQ8" i="1"/>
  <c r="BL2" i="1"/>
  <c r="BM2" i="1" s="1"/>
  <c r="BJ2" i="1" a="1"/>
  <c r="BJ2" i="1" s="1"/>
  <c r="BY2" i="1" s="1"/>
  <c r="BB2" i="1" a="1"/>
  <c r="BB2" i="1" s="1"/>
  <c r="BW2" i="1" s="1"/>
  <c r="BD2" i="1"/>
  <c r="BW4" i="4"/>
  <c r="D3" i="4" s="1"/>
  <c r="D64" i="4" s="1"/>
  <c r="T107" i="4" s="1"/>
  <c r="BW5" i="4"/>
  <c r="Q91" i="4"/>
  <c r="AA91" i="4"/>
  <c r="V91" i="4"/>
  <c r="V86" i="4"/>
  <c r="Q86" i="4"/>
  <c r="AA86" i="4"/>
  <c r="BQ9" i="1"/>
  <c r="BR9" i="1"/>
  <c r="BR7" i="1"/>
  <c r="BQ7" i="1"/>
  <c r="BR6" i="1"/>
  <c r="BQ6" i="1"/>
  <c r="BQ5" i="1"/>
  <c r="BR5" i="1"/>
  <c r="BR4" i="1"/>
  <c r="BQ4" i="1"/>
  <c r="BD3" i="1"/>
  <c r="BB3" i="1" a="1"/>
  <c r="BB3" i="1" s="1"/>
  <c r="BW3" i="1" s="1"/>
  <c r="BQ3" i="1"/>
  <c r="BR3" i="1"/>
  <c r="BH2" i="1"/>
  <c r="BI2" i="1" s="1"/>
  <c r="BF2" i="1" a="1"/>
  <c r="BF2" i="1" s="1"/>
  <c r="BX2" i="1" s="1"/>
  <c r="BQ2" i="1"/>
  <c r="BR2" i="1"/>
  <c r="BN9" i="1" l="1"/>
  <c r="BE9" i="1"/>
  <c r="BE6" i="1"/>
  <c r="BO6" i="1" s="1"/>
  <c r="BT6" i="1" s="1"/>
  <c r="BN6" i="1"/>
  <c r="BE8" i="1"/>
  <c r="BO8" i="1" s="1"/>
  <c r="BT8" i="1" s="1"/>
  <c r="BN8" i="1"/>
  <c r="BI5" i="1"/>
  <c r="BO5" i="1" s="1"/>
  <c r="BT5" i="1" s="1"/>
  <c r="BN5" i="1"/>
  <c r="BE4" i="1"/>
  <c r="BO4" i="1" s="1"/>
  <c r="BN4" i="1"/>
  <c r="BI7" i="1"/>
  <c r="BO7" i="1" s="1"/>
  <c r="BT7" i="1" s="1"/>
  <c r="BN7" i="1"/>
  <c r="BN2" i="1"/>
  <c r="BE2" i="1"/>
  <c r="BO2" i="1" s="1"/>
  <c r="BT2" i="1" s="1"/>
  <c r="AB96" i="4"/>
  <c r="Q93" i="4"/>
  <c r="AB97" i="4" s="1"/>
  <c r="Q92" i="4"/>
  <c r="AA93" i="4"/>
  <c r="AA92" i="4"/>
  <c r="V93" i="4"/>
  <c r="V92" i="4"/>
  <c r="BE3" i="1"/>
  <c r="BN3" i="1"/>
  <c r="BO9" i="1" l="1"/>
  <c r="BT4" i="1"/>
  <c r="BV4" i="1"/>
  <c r="BU8" i="1"/>
  <c r="BV8" i="1"/>
  <c r="BS8" i="1"/>
  <c r="BU7" i="1"/>
  <c r="BV7" i="1"/>
  <c r="BS7" i="1"/>
  <c r="BU6" i="1"/>
  <c r="BV6" i="1"/>
  <c r="BS6" i="1"/>
  <c r="BU5" i="1"/>
  <c r="BV5" i="1"/>
  <c r="BS5" i="1"/>
  <c r="BU4" i="1"/>
  <c r="BS4" i="1"/>
  <c r="BO3" i="1"/>
  <c r="BT3" i="1" s="1"/>
  <c r="BU2" i="1"/>
  <c r="BV2" i="1"/>
  <c r="BS2" i="1"/>
  <c r="BT9" i="1" l="1"/>
  <c r="BS9" i="1"/>
  <c r="BV9" i="1"/>
  <c r="BU9" i="1"/>
  <c r="BU3" i="1"/>
  <c r="BV3" i="1"/>
  <c r="BS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admin1</author>
  </authors>
  <commentList>
    <comment ref="AI14" authorId="0" shapeId="0" xr:uid="{6B978AE3-1D5C-4525-B598-D90C2940374F}">
      <text>
        <r>
          <rPr>
            <b/>
            <sz val="9"/>
            <color indexed="81"/>
            <rFont val="Tahoma"/>
            <family val="2"/>
          </rPr>
          <t>Cuando el cliente suministra la resistencia nominal en Psi, ingrese en este cuadro para convertir a MPa</t>
        </r>
      </text>
    </comment>
    <comment ref="V17" authorId="1" shapeId="0" xr:uid="{770D18A8-D04D-4369-979B-7A3BB9D2C51A}">
      <text>
        <r>
          <rPr>
            <b/>
            <sz val="9"/>
            <color indexed="81"/>
            <rFont val="Tahoma"/>
            <family val="2"/>
          </rPr>
          <t>Si hay solo una muestra se debe dejar en blanco.</t>
        </r>
      </text>
    </comment>
    <comment ref="V20" authorId="1" shapeId="0" xr:uid="{7D33591B-E5BA-47A1-97E8-54C407656A54}">
      <text>
        <r>
          <rPr>
            <b/>
            <sz val="9"/>
            <color indexed="81"/>
            <rFont val="Tahoma"/>
            <family val="2"/>
          </rPr>
          <t>Si hay solo una muestra se debe dejar en blanco.</t>
        </r>
      </text>
    </comment>
    <comment ref="V22" authorId="1" shapeId="0" xr:uid="{BF810EC4-56F4-485E-B1F8-9416EA6953F2}">
      <text>
        <r>
          <rPr>
            <b/>
            <sz val="9"/>
            <color indexed="81"/>
            <rFont val="Tahoma"/>
            <family val="2"/>
          </rPr>
          <t>Si hay solo una muestra se debe dejar en blanco.</t>
        </r>
      </text>
    </comment>
    <comment ref="V25" authorId="1" shapeId="0" xr:uid="{58B294ED-9B3F-4430-9907-A761EA20039B}">
      <text>
        <r>
          <rPr>
            <b/>
            <sz val="9"/>
            <color indexed="81"/>
            <rFont val="Tahoma"/>
            <family val="2"/>
          </rPr>
          <t>Si hay solo una muestra se debe dejar en blanco.</t>
        </r>
      </text>
    </comment>
    <comment ref="AA25" authorId="1" shapeId="0" xr:uid="{CF0E157B-8D12-40FD-B16A-F3A62DEF5912}">
      <text>
        <r>
          <rPr>
            <b/>
            <sz val="9"/>
            <color indexed="81"/>
            <rFont val="Tahoma"/>
            <family val="2"/>
          </rPr>
          <t>Si hay solo dos muestras se debe dejar en blanco.</t>
        </r>
      </text>
    </comment>
    <comment ref="V26" authorId="1" shapeId="0" xr:uid="{8DF3CB6B-FEE9-4889-A29F-38E64AF1F732}">
      <text>
        <r>
          <rPr>
            <b/>
            <sz val="9"/>
            <color indexed="81"/>
            <rFont val="Tahoma"/>
            <family val="2"/>
          </rPr>
          <t>Si hay solo una muestra se debe dejar en blanco.</t>
        </r>
      </text>
    </comment>
    <comment ref="AA26" authorId="1" shapeId="0" xr:uid="{E6645525-A986-4EFF-83EF-BBA7BB26F882}">
      <text>
        <r>
          <rPr>
            <b/>
            <sz val="9"/>
            <color indexed="81"/>
            <rFont val="Tahoma"/>
            <family val="2"/>
          </rPr>
          <t>Si hay solo dos muestras se debe dejar en blanco.</t>
        </r>
      </text>
    </comment>
    <comment ref="V34" authorId="1" shapeId="0" xr:uid="{D69883E3-BBC8-43F9-B0B5-B720409B9842}">
      <text>
        <r>
          <rPr>
            <b/>
            <sz val="9"/>
            <color indexed="81"/>
            <rFont val="Tahoma"/>
            <family val="2"/>
          </rPr>
          <t>Si hay solo una muestra se debe dejar en blanco.</t>
        </r>
      </text>
    </comment>
    <comment ref="V37" authorId="1" shapeId="0" xr:uid="{849E3502-4A9C-47EA-8BC3-50C58FCBA312}">
      <text>
        <r>
          <rPr>
            <b/>
            <sz val="9"/>
            <color indexed="81"/>
            <rFont val="Tahoma"/>
            <family val="2"/>
          </rPr>
          <t>Si hay solo una muestra se debe dejar en blanco.</t>
        </r>
      </text>
    </comment>
    <comment ref="V39" authorId="1" shapeId="0" xr:uid="{A325093F-0C2D-49E7-B376-306CF9098953}">
      <text>
        <r>
          <rPr>
            <b/>
            <sz val="9"/>
            <color indexed="81"/>
            <rFont val="Tahoma"/>
            <family val="2"/>
          </rPr>
          <t>Si hay solo una muestra se debe dejar en blanco.</t>
        </r>
      </text>
    </comment>
    <comment ref="V42" authorId="1" shapeId="0" xr:uid="{AD61BEC6-183F-4277-AEFC-DE4B6E946846}">
      <text>
        <r>
          <rPr>
            <b/>
            <sz val="9"/>
            <color indexed="81"/>
            <rFont val="Tahoma"/>
            <family val="2"/>
          </rPr>
          <t>Si hay solo una muestra se debe dejar en blanco.</t>
        </r>
      </text>
    </comment>
    <comment ref="AA42" authorId="1" shapeId="0" xr:uid="{E34CCBB7-7753-4CDE-886E-75EB04917238}">
      <text>
        <r>
          <rPr>
            <b/>
            <sz val="9"/>
            <color indexed="81"/>
            <rFont val="Tahoma"/>
            <family val="2"/>
          </rPr>
          <t>Si hay solo dos muestras se debe dejar en blanco.</t>
        </r>
      </text>
    </comment>
    <comment ref="V43" authorId="1" shapeId="0" xr:uid="{F3C55CA3-A379-4A63-AAE1-A78853D3921C}">
      <text>
        <r>
          <rPr>
            <b/>
            <sz val="9"/>
            <color indexed="81"/>
            <rFont val="Tahoma"/>
            <family val="2"/>
          </rPr>
          <t>Si hay solo una muestra se debe dejar en blanco.</t>
        </r>
      </text>
    </comment>
    <comment ref="AA43" authorId="1" shapeId="0" xr:uid="{17B47EA1-9912-47AC-802B-28807EE89DD3}">
      <text>
        <r>
          <rPr>
            <b/>
            <sz val="9"/>
            <color indexed="81"/>
            <rFont val="Tahoma"/>
            <family val="2"/>
          </rPr>
          <t>Si hay solo dos muestras se debe dejar en blanco.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4B664E-C084-49A2-ACF2-A8D43A47EF8D}" name="Consulta desde idicolsrv121" type="1" refreshedVersion="8" refreshOnLoad="1" saveData="1">
    <dbPr connection="DSN=idicolsrv;DATABASE=idicol;SERVER=192.168.0.2;PORT=5432;UID=admin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_x000d__x000a_    a.consecutivo,_x000d__x000a_    b.campo23,_x000d__x000a_    b.fecharecep,_x000d__x000a_    a.refint,_x000d__x000a_    b.idext,_x000d__x000a_    b.loc,_x000d__x000a_    b.resist,_x000d__x000a_    b.procedencia,_x000d__x000a_    b.fechatoma,_x000d__x000a_    a.date2,_x000d__x000a_    a.obsensayo,_x000d__x000a_    b.dircliente,_x000d__x000a_    b.ciudadcliente,_x000d__x000a_    b.depcliente,_x000d__x000a_    b.paiscliente,_x000d__x000a_    b.codobraconf,_x000d__x000a_    b.nameobra,_x000d__x000a_    b.direccionobra,_x000d__x000a_    b.ciudobra,_x000d__x000a_    b.deptobra,_x000d__x000a_    b.paisobra,_x000d__x000a_    b.proyecto,_x000d__x000a_    a.state,_x000d__x000a_    a.inv410aa,_x000d__x000a_    a.inv410ab,_x000d__x000a_    a.inv410ac,_x000d__x000a_    a.inv410ad,_x000d__x000a_    a.inv410ad3,_x000d__x000a_    a.inv410ae,_x000d__x000a_    a.inv410af,_x000d__x000a_    a.inv410ag,_x000d__x000a_    a.inv410ah,_x000d__x000a_    a.inv410ai,_x000d__x000a_    a.inv410aj,_x000d__x000a_    a.inv410ak,_x000d__x000a_    a.inv410ak3,_x000d__x000a_    a.inv410al,_x000d__x000a_    a.inv410am,_x000d__x000a_    a.inv410an,_x000d__x000a_    a.inv410ao,_x000d__x000a_    a.inv410ap,_x000d__x000a_    a.inv410aq,_x000d__x000a_    a.inv410ar,_x000d__x000a_    a.inv410ar3,_x000d__x000a_    a.inv410as,_x000d__x000a_    a.inv410at,_x000d__x000a_    a.inv410au,_x000d__x000a_    b.cliente,_x000d__x000a_    b.tipomat,_x000d__x000a_    a.equipos_x000d__x000a_    FROM public.laboratorio_ensayosdicopdestructivos1 a_x000d__x000a_    LEFT JOIN public.laboratorio_regdicopdestructivo1 b_x000d__x000a_    ON a.campo23 = b.campo23_x000d__x000a_    WHERE a.state = 'verificacion' _x000d__x000a_    AND a.refint IN ('P0250', 'P0251');"/>
  </connection>
</connections>
</file>

<file path=xl/sharedStrings.xml><?xml version="1.0" encoding="utf-8"?>
<sst xmlns="http://schemas.openxmlformats.org/spreadsheetml/2006/main" count="1505" uniqueCount="388">
  <si>
    <t>consecutivo</t>
  </si>
  <si>
    <t>campo23</t>
  </si>
  <si>
    <t>fecharecep</t>
  </si>
  <si>
    <t>refint</t>
  </si>
  <si>
    <t>idext</t>
  </si>
  <si>
    <t>loc</t>
  </si>
  <si>
    <t>Resistencia nominal</t>
  </si>
  <si>
    <t>procedencia</t>
  </si>
  <si>
    <t>date1</t>
  </si>
  <si>
    <t>date2</t>
  </si>
  <si>
    <t>obsensayo</t>
  </si>
  <si>
    <t>dircliente</t>
  </si>
  <si>
    <t>ciudadcliente</t>
  </si>
  <si>
    <t>depcliente</t>
  </si>
  <si>
    <t>paiscliente</t>
  </si>
  <si>
    <t>codobraconf</t>
  </si>
  <si>
    <t>nameobra</t>
  </si>
  <si>
    <t>direccionobra</t>
  </si>
  <si>
    <t>ciudobra</t>
  </si>
  <si>
    <t>deptobra</t>
  </si>
  <si>
    <t>paisobra</t>
  </si>
  <si>
    <t>proyecto</t>
  </si>
  <si>
    <t>state</t>
  </si>
  <si>
    <t>Diámetro 1-1</t>
  </si>
  <si>
    <t>Diámetro 1-2</t>
  </si>
  <si>
    <t>Longitud 1-1</t>
  </si>
  <si>
    <t>Longitud 1-2</t>
  </si>
  <si>
    <t>Longitud 1-3</t>
  </si>
  <si>
    <t>Masa 1</t>
  </si>
  <si>
    <t>Carga 1</t>
  </si>
  <si>
    <t>inv410ag</t>
  </si>
  <si>
    <t>Diámetro 2-1</t>
  </si>
  <si>
    <t>Diámetro 2-2</t>
  </si>
  <si>
    <t>Longitud 2-1</t>
  </si>
  <si>
    <t>Longitud 2-2</t>
  </si>
  <si>
    <t>Longitud 2-3</t>
  </si>
  <si>
    <t>Masa 2</t>
  </si>
  <si>
    <t>Carga 2</t>
  </si>
  <si>
    <t>inv410an</t>
  </si>
  <si>
    <t>Diámetro 3-1</t>
  </si>
  <si>
    <t>Diámetro 3-2</t>
  </si>
  <si>
    <t>Longitud 3-1</t>
  </si>
  <si>
    <t>Longitud 3-2</t>
  </si>
  <si>
    <t>Longitud 3-3</t>
  </si>
  <si>
    <t>Masa 3</t>
  </si>
  <si>
    <t>Carga 3</t>
  </si>
  <si>
    <t>inv410au</t>
  </si>
  <si>
    <t>cliente</t>
  </si>
  <si>
    <t>tipomat</t>
  </si>
  <si>
    <t>equipos</t>
  </si>
  <si>
    <t>Unnamed: 50</t>
  </si>
  <si>
    <t>EDAD</t>
  </si>
  <si>
    <t>Unnamed: 52</t>
  </si>
  <si>
    <t>Densidad M1</t>
  </si>
  <si>
    <t>Diámetro M1</t>
  </si>
  <si>
    <t>Esfuerzo MPa M1</t>
  </si>
  <si>
    <t>Esfuerzo % M1</t>
  </si>
  <si>
    <t>Densidad M2</t>
  </si>
  <si>
    <t>Diámetro M2</t>
  </si>
  <si>
    <t>Esfuerzo MPa M2</t>
  </si>
  <si>
    <t>Esfuerzo % M2</t>
  </si>
  <si>
    <t>Densidad M3</t>
  </si>
  <si>
    <t>Diámetro M3</t>
  </si>
  <si>
    <t>Esfuerzo MPa M3</t>
  </si>
  <si>
    <t>Esfuerzo % M3</t>
  </si>
  <si>
    <t>Esfuerzo MPa Promedio</t>
  </si>
  <si>
    <t>Esfuerzo % Promedio</t>
  </si>
  <si>
    <t>Unnamed: 67</t>
  </si>
  <si>
    <t>Mínimo</t>
  </si>
  <si>
    <t>Máximo</t>
  </si>
  <si>
    <t>Promedio</t>
  </si>
  <si>
    <t>M1</t>
  </si>
  <si>
    <t>M2</t>
  </si>
  <si>
    <t>M3</t>
  </si>
  <si>
    <t>DM1</t>
  </si>
  <si>
    <t>DM2</t>
  </si>
  <si>
    <t>DM3</t>
  </si>
  <si>
    <t>ECD-0072413</t>
  </si>
  <si>
    <t>R-5564-1</t>
  </si>
  <si>
    <t>2026-03-04 00:00:00</t>
  </si>
  <si>
    <t>P0251</t>
  </si>
  <si>
    <t xml:space="preserve">Edificio 109, Carcamo tanque 3, eje 1 y 2 entre B y C, marco de cajas electricas almacen de residuos </t>
  </si>
  <si>
    <t xml:space="preserve">MYA GROUP </t>
  </si>
  <si>
    <t>2026-03-02 00:00:00</t>
  </si>
  <si>
    <t>2026-03-30 00:00:00</t>
  </si>
  <si>
    <t>Cra 9 # 113- 52 P 21 Ed to Unidas 2</t>
  </si>
  <si>
    <t>Bogotá</t>
  </si>
  <si>
    <t>Colombia</t>
  </si>
  <si>
    <t>OB-003434</t>
  </si>
  <si>
    <t xml:space="preserve">EDIFICIO 109- 110 PATIO TALLER METRO </t>
  </si>
  <si>
    <t>Patio Taller Metro</t>
  </si>
  <si>
    <t>No aplica</t>
  </si>
  <si>
    <t>verificacion</t>
  </si>
  <si>
    <t>HORMIGON REFORZADO SAS</t>
  </si>
  <si>
    <t>a</t>
  </si>
  <si>
    <t>EQ-0538 Balanza 15000 g, EQ-0539 Prensa compresión 1000 kN, EQ-0528 Prensa universal, EQ-0592 Pie de rey (300 mm), EQ-0565 Bloque patrón para medición de longitudes (Bloque de 0.118 pulgadas), EQ-0625 Galga 2 mm.</t>
  </si>
  <si>
    <t>ECD-0072592</t>
  </si>
  <si>
    <t>R-5582-1</t>
  </si>
  <si>
    <t>2026-03-09 00:00:00</t>
  </si>
  <si>
    <t>PL 84 -M134</t>
  </si>
  <si>
    <t>NO ESPECIFICA</t>
  </si>
  <si>
    <t>2026-02-27 00:00:00</t>
  </si>
  <si>
    <t>2026-03-27 00:00:00</t>
  </si>
  <si>
    <t>Cr 78 # 7 b-33</t>
  </si>
  <si>
    <t>OB-003095</t>
  </si>
  <si>
    <t>CLÍNICA AVENIDA LAS AMÉRICAS</t>
  </si>
  <si>
    <t>Avenida Américas # 56-52</t>
  </si>
  <si>
    <t>FABILU S.A.S</t>
  </si>
  <si>
    <t>ECD-0072600</t>
  </si>
  <si>
    <t>R-5581-3</t>
  </si>
  <si>
    <t>PL 1 - M136</t>
  </si>
  <si>
    <t>ECD-0072604</t>
  </si>
  <si>
    <t>R-5578-1</t>
  </si>
  <si>
    <t>PN 48/49 -M137</t>
  </si>
  <si>
    <t>ECD-0072608</t>
  </si>
  <si>
    <t>R-5581-1</t>
  </si>
  <si>
    <t>PL 7 - M138</t>
  </si>
  <si>
    <t>ECD-0072612</t>
  </si>
  <si>
    <t>R-5578-3</t>
  </si>
  <si>
    <t>PL 162 - M139</t>
  </si>
  <si>
    <t>2026-02-28 00:00:00</t>
  </si>
  <si>
    <t>2026-03-28 00:00:00</t>
  </si>
  <si>
    <t>ECD-0073363</t>
  </si>
  <si>
    <t>R-5763-1</t>
  </si>
  <si>
    <t>2026-03-23 00:00:00</t>
  </si>
  <si>
    <t xml:space="preserve">Edificio 110, Placa Superior cajas pozos de bombas eyectoras, PTAR, eje A entre ejes 1 y 3. </t>
  </si>
  <si>
    <t>M y A Group</t>
  </si>
  <si>
    <t>2026-03-16 00:00:00</t>
  </si>
  <si>
    <t>ECD-0073562</t>
  </si>
  <si>
    <t>R-5870-2</t>
  </si>
  <si>
    <t>2026-03-25 00:00:00</t>
  </si>
  <si>
    <t>PL 155 - M134B</t>
  </si>
  <si>
    <t>2026-02-26 00:00:00</t>
  </si>
  <si>
    <t>2026-03-26 00:00:00</t>
  </si>
  <si>
    <t>54</t>
  </si>
  <si>
    <t>200.98</t>
  </si>
  <si>
    <t>3500</t>
  </si>
  <si>
    <t>4</t>
  </si>
  <si>
    <t>100.80</t>
  </si>
  <si>
    <t>5</t>
  </si>
  <si>
    <t>100.90</t>
  </si>
  <si>
    <t>292.9</t>
  </si>
  <si>
    <t>2</t>
  </si>
  <si>
    <t>3659</t>
  </si>
  <si>
    <t>100.76</t>
  </si>
  <si>
    <t>200.10</t>
  </si>
  <si>
    <t>200.68</t>
  </si>
  <si>
    <t>200.60</t>
  </si>
  <si>
    <t>62</t>
  </si>
  <si>
    <t>INGRESO DE DATOS DE ENSAYO</t>
  </si>
  <si>
    <t>EJEMPLO DE DILIGENCIAMIENTO DEL ENCABEZADO</t>
  </si>
  <si>
    <t>ECD-0074045</t>
  </si>
  <si>
    <t>73365</t>
  </si>
  <si>
    <t>ID Informe:</t>
  </si>
  <si>
    <t>-</t>
  </si>
  <si>
    <t>Orden de ingreso:</t>
  </si>
  <si>
    <t>R-5888-3</t>
  </si>
  <si>
    <t>Versión de Informe:</t>
  </si>
  <si>
    <t>1</t>
  </si>
  <si>
    <t>I-3546-2020</t>
  </si>
  <si>
    <t>C - No 10028</t>
  </si>
  <si>
    <t>ECD-</t>
  </si>
  <si>
    <t>Fecha Recepción:</t>
  </si>
  <si>
    <t>Fecha de Ensayo:</t>
  </si>
  <si>
    <t>Fecha de Informe:</t>
  </si>
  <si>
    <t>2020-03-23</t>
  </si>
  <si>
    <t>2020-03-15</t>
  </si>
  <si>
    <t>2020-03-26</t>
  </si>
  <si>
    <t>Cliente:</t>
  </si>
  <si>
    <t>CONSORCIO METRO XM</t>
  </si>
  <si>
    <t>ESTRUCTURAS SOSTENIBLES SAS</t>
  </si>
  <si>
    <t>Dirección:</t>
  </si>
  <si>
    <t>Cr 14 # 75-77 Of 409</t>
  </si>
  <si>
    <t>Ciudad</t>
  </si>
  <si>
    <t>Departamento</t>
  </si>
  <si>
    <t>País</t>
  </si>
  <si>
    <t>CALLE 53 B # 45 - 16 SUR</t>
  </si>
  <si>
    <t>BTA</t>
  </si>
  <si>
    <t>C/MARCA</t>
  </si>
  <si>
    <t>COL</t>
  </si>
  <si>
    <t>ID Obra:</t>
  </si>
  <si>
    <t>OB-003418</t>
  </si>
  <si>
    <t>Obra</t>
  </si>
  <si>
    <t>ESTACIÓN 8 ML</t>
  </si>
  <si>
    <t>LOS PINOS</t>
  </si>
  <si>
    <t>Procedencia:</t>
  </si>
  <si>
    <t xml:space="preserve">Cemex </t>
  </si>
  <si>
    <t>CEMEX / NO SE ESPECIFICA</t>
  </si>
  <si>
    <t>Fecha de toma</t>
  </si>
  <si>
    <t>Resistencia nominal (Mpa)</t>
  </si>
  <si>
    <t>ID Muestra</t>
  </si>
  <si>
    <t>#</t>
  </si>
  <si>
    <t>E8-234</t>
  </si>
  <si>
    <t>Localización</t>
  </si>
  <si>
    <t>PLACA NIVEL INFERIOR DE PLATAFORMA +13.82 EJE 3´-5´ - ENTRE EJES A-E</t>
  </si>
  <si>
    <t>Psi</t>
  </si>
  <si>
    <t>Mpa</t>
  </si>
  <si>
    <t>Tipo de material</t>
  </si>
  <si>
    <t>DIMENSIONES Y PROPIEDADES DE LA MUESTRA</t>
  </si>
  <si>
    <t>TIPO DE MATERIAL</t>
  </si>
  <si>
    <t>patrón de fractura</t>
  </si>
  <si>
    <t>Longitud (L)</t>
  </si>
  <si>
    <t>mm</t>
  </si>
  <si>
    <t xml:space="preserve">CONCRETO </t>
  </si>
  <si>
    <t>Cilindro de concreto</t>
  </si>
  <si>
    <t>b</t>
  </si>
  <si>
    <t>Cilindro de grouting</t>
  </si>
  <si>
    <t>c</t>
  </si>
  <si>
    <t>Cilindro de lechada</t>
  </si>
  <si>
    <t xml:space="preserve">MORTERO </t>
  </si>
  <si>
    <t>d</t>
  </si>
  <si>
    <t>Cilindro de mortero</t>
  </si>
  <si>
    <t>e</t>
  </si>
  <si>
    <t>Cubo de lechada</t>
  </si>
  <si>
    <t>Masa</t>
  </si>
  <si>
    <t>g</t>
  </si>
  <si>
    <t>GROUTING</t>
  </si>
  <si>
    <t>f</t>
  </si>
  <si>
    <t>Cubo de mortero</t>
  </si>
  <si>
    <t>LECHADA</t>
  </si>
  <si>
    <t>Murete</t>
  </si>
  <si>
    <t>CÁLCULOS DE RESISTENCIA</t>
  </si>
  <si>
    <t>h</t>
  </si>
  <si>
    <t>Vigueta</t>
  </si>
  <si>
    <t>Carga última de falla</t>
  </si>
  <si>
    <t>kN</t>
  </si>
  <si>
    <t>Patrón de fractura</t>
  </si>
  <si>
    <t>ID Equipos utilizados:</t>
  </si>
  <si>
    <t>L/D</t>
  </si>
  <si>
    <t>Observaciones:</t>
  </si>
  <si>
    <t>INFORME DE ENSAYO DE LABORATORIO</t>
  </si>
  <si>
    <t>RESISTENCIA A LA COMPRESIÓN DE CILINDROS DE CONCRETO</t>
  </si>
  <si>
    <t>INV E 410-13</t>
  </si>
  <si>
    <t>Código:</t>
  </si>
  <si>
    <t>FI - GI - 116</t>
  </si>
  <si>
    <t>Versión:</t>
  </si>
  <si>
    <t>01</t>
  </si>
  <si>
    <t>Actualización:</t>
  </si>
  <si>
    <t>Página:</t>
  </si>
  <si>
    <t>1 de 1</t>
  </si>
  <si>
    <t>*Cliente:</t>
  </si>
  <si>
    <t>*Dirección:</t>
  </si>
  <si>
    <t>*Ciudad</t>
  </si>
  <si>
    <t>*Departamento</t>
  </si>
  <si>
    <t>*País</t>
  </si>
  <si>
    <t>*Obra</t>
  </si>
  <si>
    <t>*Procedencia:</t>
  </si>
  <si>
    <t>INFORMACIÓN DEL ENSAYO</t>
  </si>
  <si>
    <t>*Fecha de toma</t>
  </si>
  <si>
    <t>*Resistencia nominal (Mpa)</t>
  </si>
  <si>
    <t>*Resistencia nominal (Psi)</t>
  </si>
  <si>
    <t>*Edad de falla (días)</t>
  </si>
  <si>
    <t>*Localización</t>
  </si>
  <si>
    <t>Muestra</t>
  </si>
  <si>
    <t>Relación Longitud / Diámetro (L/Ø)</t>
  </si>
  <si>
    <t>Área de la sección transversal</t>
  </si>
  <si>
    <t>Densidad</t>
  </si>
  <si>
    <t>Carga máxima</t>
  </si>
  <si>
    <t>Factor de corrección</t>
  </si>
  <si>
    <t>Resistencia a la compresión</t>
  </si>
  <si>
    <t>%</t>
  </si>
  <si>
    <t>RESISTENCIA PROMEDIO</t>
  </si>
  <si>
    <t>(MPa)</t>
  </si>
  <si>
    <t>Sitio de ejecución del ensayo:</t>
  </si>
  <si>
    <t>ING. JOHN ALEXANDER RODRIGUEZ</t>
  </si>
  <si>
    <t>Director de ingeniería</t>
  </si>
  <si>
    <t>Aprobó</t>
  </si>
  <si>
    <t>FIN DEL INFORME DE ENSAYO</t>
  </si>
  <si>
    <t>El Laboratorio IDICOL SAS no es responsable de la información suministrada por el cliente, la cual está identificada con un asterisco * en el presente Informe</t>
  </si>
  <si>
    <t>Los resultados reportados corresponden exclusivamente a las muestras de ensayo entregadas al laboratorio y analizadas</t>
  </si>
  <si>
    <t>El Laboratorio IDICOL SAS no realiza muestreo. Los resultados se aplican a la muestra como se recibió</t>
  </si>
  <si>
    <t>Se prohibe la reproducción del informe de ensayo, excepto en su totalidad, sin la autorización escrita del laboratorio</t>
  </si>
  <si>
    <t>www.idicol.com / Email: contactenos@idicol.com</t>
  </si>
  <si>
    <r>
      <t>Diámetro (</t>
    </r>
    <r>
      <rPr>
        <sz val="8"/>
        <color theme="1"/>
        <rFont val="Calibri"/>
        <family val="2"/>
      </rPr>
      <t>Ø</t>
    </r>
    <r>
      <rPr>
        <sz val="8"/>
        <color theme="1"/>
        <rFont val="Sanserif"/>
      </rPr>
      <t>)</t>
    </r>
  </si>
  <si>
    <r>
      <t>mm</t>
    </r>
    <r>
      <rPr>
        <sz val="8"/>
        <color theme="1"/>
        <rFont val="Calibri"/>
        <family val="2"/>
      </rPr>
      <t>²</t>
    </r>
  </si>
  <si>
    <r>
      <t>Kg/m</t>
    </r>
    <r>
      <rPr>
        <sz val="8"/>
        <color theme="1"/>
        <rFont val="Calibri"/>
        <family val="2"/>
      </rPr>
      <t>³</t>
    </r>
  </si>
  <si>
    <t>Cantidad</t>
  </si>
  <si>
    <t>ECD-0082444</t>
  </si>
  <si>
    <t>ECD-0082445</t>
  </si>
  <si>
    <t>ECD-0082446</t>
  </si>
  <si>
    <t>ECD-0082447</t>
  </si>
  <si>
    <t>ECD-0082448</t>
  </si>
  <si>
    <t>ECD-0082449</t>
  </si>
  <si>
    <t>ECD-0082450</t>
  </si>
  <si>
    <t>ECD-0082451</t>
  </si>
  <si>
    <t>Diametro</t>
  </si>
  <si>
    <t>resist</t>
  </si>
  <si>
    <t>inv410aa</t>
  </si>
  <si>
    <t>inv410ab</t>
  </si>
  <si>
    <t>inv410ac</t>
  </si>
  <si>
    <t>inv410ad</t>
  </si>
  <si>
    <t>inv410ad3</t>
  </si>
  <si>
    <t>inv410ae</t>
  </si>
  <si>
    <t>inv410af</t>
  </si>
  <si>
    <t>inv410ah</t>
  </si>
  <si>
    <t>inv410ai</t>
  </si>
  <si>
    <t>inv410aj</t>
  </si>
  <si>
    <t>inv410ak</t>
  </si>
  <si>
    <t>inv410ak3</t>
  </si>
  <si>
    <t>inv410al</t>
  </si>
  <si>
    <t>inv410am</t>
  </si>
  <si>
    <t>inv410ao</t>
  </si>
  <si>
    <t>inv410ap</t>
  </si>
  <si>
    <t>inv410aq</t>
  </si>
  <si>
    <t>inv410ar</t>
  </si>
  <si>
    <t>inv410ar3</t>
  </si>
  <si>
    <t>inv410as</t>
  </si>
  <si>
    <t>inv410at</t>
  </si>
  <si>
    <t>IDICOL S.A.S - Calle 70 A No 52 - 27, Bogotá D.C., Colombia / PBX: 7551341 - Cel: 3114853234</t>
  </si>
  <si>
    <t>ECD-0074024</t>
  </si>
  <si>
    <t>R-5886-1</t>
  </si>
  <si>
    <t>E8-224</t>
  </si>
  <si>
    <t>Rotonda Av. Primera de Mayo con Cra 50</t>
  </si>
  <si>
    <t>100</t>
  </si>
  <si>
    <t>201</t>
  </si>
  <si>
    <t>200</t>
  </si>
  <si>
    <t>3710</t>
  </si>
  <si>
    <t>422.9</t>
  </si>
  <si>
    <t>3</t>
  </si>
  <si>
    <t>3865</t>
  </si>
  <si>
    <t>101</t>
  </si>
  <si>
    <t>386.0</t>
  </si>
  <si>
    <t>ECD-0074043</t>
  </si>
  <si>
    <t>R-5888-2</t>
  </si>
  <si>
    <t>E8-233</t>
  </si>
  <si>
    <t>3761</t>
  </si>
  <si>
    <t>341.0</t>
  </si>
  <si>
    <t>3825</t>
  </si>
  <si>
    <t>313.8</t>
  </si>
  <si>
    <t>3752</t>
  </si>
  <si>
    <t>336.4</t>
  </si>
  <si>
    <t>ECD-0074046</t>
  </si>
  <si>
    <t>3.884</t>
  </si>
  <si>
    <t>338.7</t>
  </si>
  <si>
    <t>3.895</t>
  </si>
  <si>
    <t>310.4</t>
  </si>
  <si>
    <t>3.812</t>
  </si>
  <si>
    <t>365.5</t>
  </si>
  <si>
    <t>ECD-0072840</t>
  </si>
  <si>
    <t>R-5415-3</t>
  </si>
  <si>
    <t>Muestra E8 -200</t>
  </si>
  <si>
    <t>MC1 EJE A, 4-4' (10x3m) NIV -7.0 a -4.0. ZARPA EJE A, 3'-4</t>
  </si>
  <si>
    <t>CEMEX</t>
  </si>
  <si>
    <t>200.64</t>
  </si>
  <si>
    <t>3476</t>
  </si>
  <si>
    <t>313.9</t>
  </si>
  <si>
    <t>200.90</t>
  </si>
  <si>
    <t>200.34</t>
  </si>
  <si>
    <t>3468</t>
  </si>
  <si>
    <t>272.5</t>
  </si>
  <si>
    <t>100.10</t>
  </si>
  <si>
    <t>294.0</t>
  </si>
  <si>
    <t>ECD-0074006</t>
  </si>
  <si>
    <t>R-5748-4</t>
  </si>
  <si>
    <t>E8 - 215</t>
  </si>
  <si>
    <t>CINCO MIL 1/2 PULGADA 28 DIAS AS20CM(8")</t>
  </si>
  <si>
    <t>3.793</t>
  </si>
  <si>
    <t>307.8</t>
  </si>
  <si>
    <t>3.670</t>
  </si>
  <si>
    <t>303.7</t>
  </si>
  <si>
    <t>3.682</t>
  </si>
  <si>
    <t>314.4</t>
  </si>
  <si>
    <t>ECD-0074012</t>
  </si>
  <si>
    <t>R-5749-3</t>
  </si>
  <si>
    <t>E8 - 218</t>
  </si>
  <si>
    <t>3.777</t>
  </si>
  <si>
    <t>324.9</t>
  </si>
  <si>
    <t>3.776</t>
  </si>
  <si>
    <t>299.9</t>
  </si>
  <si>
    <t>337.9</t>
  </si>
  <si>
    <t>ECD-0074025</t>
  </si>
  <si>
    <t>3976</t>
  </si>
  <si>
    <t>438.1</t>
  </si>
  <si>
    <t>3889</t>
  </si>
  <si>
    <t>389.7</t>
  </si>
  <si>
    <t>3726</t>
  </si>
  <si>
    <t>396.8</t>
  </si>
  <si>
    <t>ECD-0074029</t>
  </si>
  <si>
    <t>R-5886-3</t>
  </si>
  <si>
    <t>E8-226</t>
  </si>
  <si>
    <t>3721</t>
  </si>
  <si>
    <t>345.4</t>
  </si>
  <si>
    <t>3877</t>
  </si>
  <si>
    <t>338.3</t>
  </si>
  <si>
    <t>3856</t>
  </si>
  <si>
    <t>341.8</t>
  </si>
  <si>
    <t>fechatoma</t>
  </si>
  <si>
    <t>Instalaciones laboratorio IDICOL SAS, Calle 70 A # 52 - 27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</si>
</sst>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yyyy/mm/dd;@"/>
    <numFmt numFmtId="166" formatCode="yyyy\-mm\-dd;@"/>
    <numFmt numFmtId="167" formatCode="0.000"/>
    <numFmt numFmtId="168" formatCode="m/d/yyyy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Sanserif"/>
    </font>
    <font>
      <sz val="11"/>
      <color theme="1"/>
      <name val="Sanserif"/>
    </font>
    <font>
      <sz val="8"/>
      <color theme="1"/>
      <name val="Sanserif"/>
    </font>
    <font>
      <sz val="8"/>
      <color theme="1"/>
      <name val="Calibri"/>
      <family val="2"/>
      <scheme val="minor"/>
    </font>
    <font>
      <sz val="7"/>
      <name val="Sanserif"/>
    </font>
    <font>
      <b/>
      <sz val="8"/>
      <color theme="1"/>
      <name val="Sanserif"/>
    </font>
    <font>
      <u val="singleAccounting"/>
      <sz val="8"/>
      <color theme="1"/>
      <name val="Sanserif"/>
    </font>
    <font>
      <b/>
      <sz val="9"/>
      <color theme="1"/>
      <name val="Sanserif"/>
    </font>
    <font>
      <sz val="8"/>
      <name val="Sanserif"/>
    </font>
    <font>
      <sz val="11"/>
      <name val="Calibri"/>
      <family val="2"/>
      <scheme val="minor"/>
    </font>
    <font>
      <sz val="8"/>
      <color theme="1"/>
      <name val="SansSerif"/>
      <charset val="2"/>
    </font>
    <font>
      <sz val="8"/>
      <color theme="1"/>
      <name val="Sanserift"/>
    </font>
    <font>
      <b/>
      <sz val="15"/>
      <color theme="0" tint="-0.14999847407452621"/>
      <name val="Sanserif"/>
    </font>
    <font>
      <sz val="6"/>
      <color theme="1"/>
      <name val="Sanserif"/>
    </font>
    <font>
      <sz val="6"/>
      <name val="Sanserif"/>
    </font>
    <font>
      <sz val="8"/>
      <color theme="1"/>
      <name val="Calibri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88">
    <xf numFmtId="0" fontId="0" fillId="0" borderId="0" xfId="0"/>
    <xf numFmtId="0" fontId="1" fillId="0" borderId="0" xfId="0" applyFont="1" applyAlignment="1" applyProtection="1">
      <alignment textRotation="90"/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0" fontId="1" fillId="0" borderId="0" xfId="0" applyFont="1" applyAlignment="1">
      <alignment textRotation="90"/>
    </xf>
    <xf numFmtId="0" fontId="1" fillId="2" borderId="1" xfId="0" applyFont="1" applyFill="1" applyBorder="1" applyAlignment="1">
      <alignment textRotation="90"/>
    </xf>
    <xf numFmtId="0" fontId="1" fillId="0" borderId="1" xfId="0" applyFont="1" applyBorder="1" applyAlignment="1">
      <alignment textRotation="90"/>
    </xf>
    <xf numFmtId="0" fontId="0" fillId="3" borderId="2" xfId="0" applyFill="1" applyBorder="1"/>
    <xf numFmtId="0" fontId="0" fillId="3" borderId="3" xfId="0" applyFill="1" applyBorder="1"/>
    <xf numFmtId="14" fontId="0" fillId="3" borderId="3" xfId="0" applyNumberFormat="1" applyFill="1" applyBorder="1"/>
    <xf numFmtId="0" fontId="0" fillId="2" borderId="0" xfId="0" applyFill="1"/>
    <xf numFmtId="1" fontId="0" fillId="2" borderId="0" xfId="0" applyNumberFormat="1" applyFill="1"/>
    <xf numFmtId="1" fontId="0" fillId="2" borderId="1" xfId="0" applyNumberFormat="1" applyFill="1" applyBorder="1"/>
    <xf numFmtId="0" fontId="0" fillId="2" borderId="1" xfId="0" applyFill="1" applyBorder="1"/>
    <xf numFmtId="164" fontId="0" fillId="2" borderId="1" xfId="0" applyNumberFormat="1" applyFill="1" applyBorder="1"/>
    <xf numFmtId="0" fontId="0" fillId="0" borderId="3" xfId="0" applyBorder="1"/>
    <xf numFmtId="14" fontId="0" fillId="0" borderId="3" xfId="0" applyNumberFormat="1" applyBorder="1"/>
    <xf numFmtId="0" fontId="4" fillId="0" borderId="0" xfId="0" applyFont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2" fontId="4" fillId="0" borderId="1" xfId="0" applyNumberFormat="1" applyFont="1" applyBorder="1" applyAlignment="1" applyProtection="1">
      <alignment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5" fillId="7" borderId="7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7" fontId="6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2" fontId="4" fillId="0" borderId="0" xfId="0" applyNumberFormat="1" applyFont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5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67" fontId="6" fillId="0" borderId="0" xfId="0" applyNumberFormat="1" applyFont="1" applyAlignment="1">
      <alignment horizontal="center"/>
    </xf>
    <xf numFmtId="0" fontId="4" fillId="0" borderId="0" xfId="0" applyFont="1" applyAlignment="1">
      <alignment vertical="center" wrapText="1"/>
    </xf>
    <xf numFmtId="0" fontId="2" fillId="2" borderId="0" xfId="0" applyFont="1" applyFill="1"/>
    <xf numFmtId="0" fontId="12" fillId="0" borderId="0" xfId="0" applyFont="1"/>
    <xf numFmtId="0" fontId="12" fillId="2" borderId="0" xfId="0" applyFont="1" applyFill="1"/>
    <xf numFmtId="0" fontId="5" fillId="0" borderId="0" xfId="0" applyFont="1"/>
    <xf numFmtId="0" fontId="13" fillId="0" borderId="0" xfId="0" applyFont="1"/>
    <xf numFmtId="0" fontId="16" fillId="0" borderId="0" xfId="0" applyFont="1" applyAlignment="1">
      <alignment vertical="center"/>
    </xf>
    <xf numFmtId="14" fontId="0" fillId="0" borderId="0" xfId="0" applyNumberFormat="1"/>
    <xf numFmtId="168" fontId="0" fillId="0" borderId="0" xfId="0" applyNumberFormat="1"/>
    <xf numFmtId="0" fontId="17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0" xfId="0" applyFont="1" applyAlignment="1">
      <alignment horizontal="left" wrapText="1"/>
    </xf>
    <xf numFmtId="0" fontId="14" fillId="0" borderId="17" xfId="0" applyFont="1" applyBorder="1" applyAlignment="1">
      <alignment horizontal="left" wrapText="1"/>
    </xf>
    <xf numFmtId="0" fontId="8" fillId="0" borderId="0" xfId="0" applyFont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164" fontId="8" fillId="9" borderId="1" xfId="0" applyNumberFormat="1" applyFont="1" applyFill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164" fontId="8" fillId="5" borderId="1" xfId="0" applyNumberFormat="1" applyFont="1" applyFill="1" applyBorder="1" applyAlignment="1">
      <alignment horizontal="center" vertical="center"/>
    </xf>
    <xf numFmtId="0" fontId="5" fillId="0" borderId="5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2" fontId="5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1" fontId="5" fillId="0" borderId="8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49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 shrinkToFit="1"/>
    </xf>
    <xf numFmtId="0" fontId="5" fillId="5" borderId="1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vertical="center"/>
    </xf>
    <xf numFmtId="0" fontId="5" fillId="0" borderId="8" xfId="0" applyFont="1" applyBorder="1" applyAlignment="1">
      <alignment horizontal="center" vertical="center" shrinkToFit="1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8" fillId="2" borderId="5" xfId="0" applyFont="1" applyFill="1" applyBorder="1" applyAlignment="1">
      <alignment horizontal="left" vertical="center"/>
    </xf>
    <xf numFmtId="0" fontId="8" fillId="2" borderId="6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49" fontId="5" fillId="2" borderId="6" xfId="0" applyNumberFormat="1" applyFont="1" applyFill="1" applyBorder="1" applyAlignment="1">
      <alignment horizontal="center" vertical="center"/>
    </xf>
    <xf numFmtId="166" fontId="5" fillId="2" borderId="6" xfId="0" applyNumberFormat="1" applyFont="1" applyFill="1" applyBorder="1" applyAlignment="1">
      <alignment horizontal="center" vertical="center"/>
    </xf>
    <xf numFmtId="166" fontId="5" fillId="0" borderId="8" xfId="0" applyNumberFormat="1" applyFont="1" applyBorder="1" applyAlignment="1">
      <alignment horizontal="center" vertical="center"/>
    </xf>
    <xf numFmtId="0" fontId="5" fillId="6" borderId="17" xfId="0" applyFont="1" applyFill="1" applyBorder="1" applyAlignment="1" applyProtection="1">
      <alignment horizontal="left" vertical="center"/>
      <protection locked="0"/>
    </xf>
    <xf numFmtId="0" fontId="8" fillId="9" borderId="11" xfId="0" applyFont="1" applyFill="1" applyBorder="1" applyAlignment="1" applyProtection="1">
      <alignment horizontal="center" vertical="center"/>
      <protection locked="0"/>
    </xf>
    <xf numFmtId="0" fontId="8" fillId="9" borderId="19" xfId="0" applyFont="1" applyFill="1" applyBorder="1" applyAlignment="1" applyProtection="1">
      <alignment horizontal="center" vertical="center"/>
      <protection locked="0"/>
    </xf>
    <xf numFmtId="0" fontId="8" fillId="9" borderId="20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2" fontId="5" fillId="6" borderId="1" xfId="0" applyNumberFormat="1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5" fillId="0" borderId="1" xfId="0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1" fontId="5" fillId="6" borderId="1" xfId="0" applyNumberFormat="1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left" vertical="top"/>
      <protection locked="0"/>
    </xf>
    <xf numFmtId="0" fontId="9" fillId="6" borderId="15" xfId="0" applyFont="1" applyFill="1" applyBorder="1" applyAlignment="1" applyProtection="1">
      <alignment horizontal="left" vertical="top"/>
      <protection locked="0"/>
    </xf>
    <xf numFmtId="164" fontId="5" fillId="6" borderId="1" xfId="0" applyNumberFormat="1" applyFont="1" applyFill="1" applyBorder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left" vertical="center"/>
      <protection locked="0"/>
    </xf>
    <xf numFmtId="0" fontId="5" fillId="0" borderId="6" xfId="0" applyFont="1" applyBorder="1" applyAlignment="1" applyProtection="1">
      <alignment horizontal="left" vertical="center"/>
      <protection locked="0"/>
    </xf>
    <xf numFmtId="0" fontId="5" fillId="0" borderId="7" xfId="0" applyFont="1" applyBorder="1" applyAlignment="1" applyProtection="1">
      <alignment horizontal="left" vertical="center"/>
      <protection locked="0"/>
    </xf>
    <xf numFmtId="0" fontId="7" fillId="6" borderId="1" xfId="0" applyFont="1" applyFill="1" applyBorder="1" applyAlignment="1" applyProtection="1">
      <alignment horizontal="center" vertical="center"/>
      <protection locked="0"/>
    </xf>
    <xf numFmtId="0" fontId="4" fillId="8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49" fontId="5" fillId="6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left" vertical="center"/>
      <protection locked="0"/>
    </xf>
    <xf numFmtId="0" fontId="5" fillId="0" borderId="9" xfId="0" applyFont="1" applyBorder="1" applyAlignment="1" applyProtection="1">
      <alignment horizontal="left" vertical="center"/>
      <protection locked="0"/>
    </xf>
    <xf numFmtId="0" fontId="5" fillId="0" borderId="10" xfId="0" applyFont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166" fontId="5" fillId="6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49" fontId="5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5" borderId="1" xfId="0" applyFont="1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5" borderId="1" xfId="0" applyFont="1" applyFill="1" applyBorder="1" applyAlignment="1" applyProtection="1">
      <alignment vertical="center"/>
      <protection locked="0"/>
    </xf>
    <xf numFmtId="0" fontId="5" fillId="6" borderId="1" xfId="0" applyFont="1" applyFill="1" applyBorder="1" applyAlignment="1" applyProtection="1">
      <alignment horizontal="center" vertical="center" shrinkToFit="1"/>
      <protection locked="0"/>
    </xf>
    <xf numFmtId="165" fontId="5" fillId="0" borderId="1" xfId="0" applyNumberFormat="1" applyFont="1" applyBorder="1" applyAlignment="1" applyProtection="1">
      <alignment horizontal="center" vertical="center"/>
      <protection locked="0"/>
    </xf>
    <xf numFmtId="165" fontId="5" fillId="0" borderId="8" xfId="0" applyNumberFormat="1" applyFont="1" applyBorder="1" applyAlignment="1" applyProtection="1">
      <alignment horizontal="center" vertical="center"/>
      <protection locked="0"/>
    </xf>
    <xf numFmtId="166" fontId="5" fillId="6" borderId="8" xfId="0" applyNumberFormat="1" applyFont="1" applyFill="1" applyBorder="1" applyAlignment="1" applyProtection="1">
      <alignment horizontal="center" vertical="center"/>
      <protection locked="0"/>
    </xf>
    <xf numFmtId="49" fontId="5" fillId="6" borderId="8" xfId="0" applyNumberFormat="1" applyFont="1" applyFill="1" applyBorder="1" applyAlignment="1" applyProtection="1">
      <alignment horizontal="center" vertical="center"/>
      <protection locked="0"/>
    </xf>
    <xf numFmtId="165" fontId="5" fillId="6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49" fontId="5" fillId="7" borderId="8" xfId="0" applyNumberFormat="1" applyFont="1" applyFill="1" applyBorder="1" applyAlignment="1" applyProtection="1">
      <alignment horizontal="center" vertical="center"/>
      <protection locked="0"/>
    </xf>
    <xf numFmtId="0" fontId="5" fillId="5" borderId="8" xfId="0" applyFont="1" applyFill="1" applyBorder="1" applyAlignment="1" applyProtection="1">
      <alignment vertical="center"/>
      <protection locked="0"/>
    </xf>
    <xf numFmtId="0" fontId="5" fillId="6" borderId="8" xfId="0" applyFont="1" applyFill="1" applyBorder="1" applyAlignment="1" applyProtection="1">
      <alignment horizontal="center" vertical="center" shrinkToFit="1"/>
      <protection locked="0"/>
    </xf>
    <xf numFmtId="0" fontId="5" fillId="7" borderId="8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5" fillId="5" borderId="5" xfId="0" applyFont="1" applyFill="1" applyBorder="1" applyAlignment="1" applyProtection="1">
      <alignment horizontal="center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locked="0"/>
    </xf>
    <xf numFmtId="0" fontId="5" fillId="6" borderId="5" xfId="0" applyFont="1" applyFill="1" applyBorder="1" applyAlignment="1" applyProtection="1">
      <alignment horizontal="center" vertical="center"/>
      <protection locked="0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5" fillId="7" borderId="5" xfId="0" applyFont="1" applyFill="1" applyBorder="1" applyAlignment="1" applyProtection="1">
      <alignment horizontal="center" vertical="center"/>
      <protection locked="0"/>
    </xf>
    <xf numFmtId="0" fontId="5" fillId="7" borderId="6" xfId="0" applyFont="1" applyFill="1" applyBorder="1" applyAlignment="1" applyProtection="1">
      <alignment horizontal="center" vertical="center"/>
      <protection locked="0"/>
    </xf>
    <xf numFmtId="0" fontId="5" fillId="7" borderId="7" xfId="0" applyFont="1" applyFill="1" applyBorder="1" applyAlignment="1" applyProtection="1">
      <alignment horizontal="center" vertical="center"/>
      <protection locked="0"/>
    </xf>
    <xf numFmtId="0" fontId="0" fillId="3" borderId="2" xfId="0" applyFont="1" applyFill="1" applyBorder="1"/>
    <xf numFmtId="0" fontId="0" fillId="3" borderId="3" xfId="0" applyFont="1" applyFill="1" applyBorder="1"/>
    <xf numFmtId="14" fontId="0" fillId="3" borderId="3" xfId="0" applyNumberFormat="1" applyFont="1" applyFill="1" applyBorder="1"/>
    <xf numFmtId="0" fontId="0" fillId="3" borderId="4" xfId="0" applyFont="1" applyFill="1" applyBorder="1"/>
    <xf numFmtId="0" fontId="0" fillId="0" borderId="2" xfId="0" applyFont="1" applyBorder="1"/>
    <xf numFmtId="0" fontId="0" fillId="0" borderId="3" xfId="0" applyFont="1" applyBorder="1"/>
    <xf numFmtId="14" fontId="0" fillId="0" borderId="3" xfId="0" applyNumberFormat="1" applyFont="1" applyBorder="1"/>
    <xf numFmtId="0" fontId="0" fillId="0" borderId="4" xfId="0" applyFont="1" applyBorder="1"/>
    <xf numFmtId="168" fontId="0" fillId="0" borderId="3" xfId="0" applyNumberFormat="1" applyFont="1" applyBorder="1"/>
    <xf numFmtId="168" fontId="0" fillId="3" borderId="3" xfId="0" applyNumberFormat="1" applyFont="1" applyFill="1" applyBorder="1"/>
  </cellXfs>
  <cellStyles count="1">
    <cellStyle name="Normal" xfId="0" builtinId="0"/>
  </cellStyles>
  <dxfs count="21">
    <dxf>
      <numFmt numFmtId="168" formatCode="m/d/yyyy"/>
    </dxf>
    <dxf>
      <numFmt numFmtId="168" formatCode="m/d/yyyy"/>
    </dxf>
    <dxf>
      <numFmt numFmtId="168" formatCode="m/d/yy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-0.23458289588801401"/>
                  <c:y val="0.104897929425488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INV410INF!$AQ$44:$AQ$48</c:f>
              <c:numCache>
                <c:formatCode>0.00</c:formatCode>
                <c:ptCount val="5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</c:numCache>
            </c:numRef>
          </c:xVal>
          <c:yVal>
            <c:numRef>
              <c:f>INV410INF!$AR$44:$AR$48</c:f>
              <c:numCache>
                <c:formatCode>0.00</c:formatCode>
                <c:ptCount val="5"/>
                <c:pt idx="0">
                  <c:v>0.87</c:v>
                </c:pt>
                <c:pt idx="1">
                  <c:v>0.93</c:v>
                </c:pt>
                <c:pt idx="2">
                  <c:v>0.96</c:v>
                </c:pt>
                <c:pt idx="3">
                  <c:v>0.98</c:v>
                </c:pt>
                <c:pt idx="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2D-4235-8EB7-7718E80D5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33981488"/>
        <c:axId val="-800874208"/>
      </c:scatterChart>
      <c:valAx>
        <c:axId val="-103398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800874208"/>
        <c:crosses val="autoZero"/>
        <c:crossBetween val="midCat"/>
      </c:valAx>
      <c:valAx>
        <c:axId val="-80087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1033981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123825</xdr:colOff>
      <xdr:row>103</xdr:row>
      <xdr:rowOff>38100</xdr:rowOff>
    </xdr:from>
    <xdr:to>
      <xdr:col>28</xdr:col>
      <xdr:colOff>19050</xdr:colOff>
      <xdr:row>110</xdr:row>
      <xdr:rowOff>27940</xdr:rowOff>
    </xdr:to>
    <xdr:pic>
      <xdr:nvPicPr>
        <xdr:cNvPr id="2" name="11 Imagen">
          <a:extLst>
            <a:ext uri="{FF2B5EF4-FFF2-40B4-BE49-F238E27FC236}">
              <a16:creationId xmlns:a16="http://schemas.microsoft.com/office/drawing/2014/main" id="{A663F1B6-57F0-41A0-AC51-F2EEF32C95F6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1545" y="18158460"/>
          <a:ext cx="1175385" cy="949960"/>
        </a:xfrm>
        <a:prstGeom prst="rect">
          <a:avLst/>
        </a:prstGeom>
        <a:noFill/>
      </xdr:spPr>
    </xdr:pic>
    <xdr:clientData/>
  </xdr:twoCellAnchor>
  <xdr:twoCellAnchor>
    <xdr:from>
      <xdr:col>34</xdr:col>
      <xdr:colOff>19050</xdr:colOff>
      <xdr:row>72</xdr:row>
      <xdr:rowOff>109537</xdr:rowOff>
    </xdr:from>
    <xdr:to>
      <xdr:col>50</xdr:col>
      <xdr:colOff>190500</xdr:colOff>
      <xdr:row>87</xdr:row>
      <xdr:rowOff>52387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9EF7E53-9149-4AB6-9746-F6935C06F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102870</xdr:colOff>
      <xdr:row>57</xdr:row>
      <xdr:rowOff>47627</xdr:rowOff>
    </xdr:from>
    <xdr:to>
      <xdr:col>31</xdr:col>
      <xdr:colOff>133349</xdr:colOff>
      <xdr:row>60</xdr:row>
      <xdr:rowOff>177860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3CA13AE-93DF-4385-B2C1-760C804EE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89270" y="10471787"/>
          <a:ext cx="1059179" cy="770313"/>
        </a:xfrm>
        <a:prstGeom prst="rect">
          <a:avLst/>
        </a:prstGeom>
      </xdr:spPr>
    </xdr:pic>
    <xdr:clientData/>
  </xdr:twoCellAnchor>
  <xdr:twoCellAnchor editAs="oneCell">
    <xdr:from>
      <xdr:col>18</xdr:col>
      <xdr:colOff>85725</xdr:colOff>
      <xdr:row>57</xdr:row>
      <xdr:rowOff>47625</xdr:rowOff>
    </xdr:from>
    <xdr:to>
      <xdr:col>26</xdr:col>
      <xdr:colOff>72389</xdr:colOff>
      <xdr:row>59</xdr:row>
      <xdr:rowOff>100484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52D981B-C3AE-4C6A-9483-C9CD1E83B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789045" y="10471785"/>
          <a:ext cx="1769744" cy="4795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disco%20duro\irina\CLAS-BO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disco%20duro\Buesaco%20Mojarras\clasific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"/>
      <sheetName val="Recipiente"/>
      <sheetName val="Guia rec."/>
      <sheetName val="MEZCLAS"/>
      <sheetName val="Módulo1"/>
      <sheetName val="Módulo11"/>
      <sheetName val="Hoja1"/>
      <sheetName val="Clasificado 1 1-2 "/>
      <sheetName val="Guia_rec_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ZCLAS"/>
      <sheetName val="Módulo1"/>
      <sheetName val="Módulo11"/>
      <sheetName val="clasifica"/>
      <sheetName val="#¡REF"/>
      <sheetName val="Hoja1"/>
      <sheetName val="clasifica.xls"/>
    </sheetNames>
    <definedNames>
      <definedName name="Clasificacion"/>
    </defined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idicolsrv" backgroundRefresh="0" refreshOnLoad="1" connectionId="1" xr16:uid="{DFA85A77-B138-40E5-BF0A-1DBCA3B26FAF}" autoFormatId="16" applyNumberFormats="0" applyBorderFormats="0" applyFontFormats="0" applyPatternFormats="0" applyAlignmentFormats="0" applyWidthHeightFormats="0">
  <queryTableRefresh nextId="51">
    <queryTableFields count="50">
      <queryTableField id="1" name="consecutivo" tableColumnId="1"/>
      <queryTableField id="2" name="campo23" tableColumnId="2"/>
      <queryTableField id="3" name="fecharecep" tableColumnId="3"/>
      <queryTableField id="4" name="refint" tableColumnId="4"/>
      <queryTableField id="5" name="idext" tableColumnId="5"/>
      <queryTableField id="6" name="loc" tableColumnId="6"/>
      <queryTableField id="7" name="resist" tableColumnId="7"/>
      <queryTableField id="8" name="procedencia" tableColumnId="8"/>
      <queryTableField id="9" name="fechatoma" tableColumnId="9"/>
      <queryTableField id="10" name="date2" tableColumnId="10"/>
      <queryTableField id="11" name="obsensayo" tableColumnId="11"/>
      <queryTableField id="12" name="dircliente" tableColumnId="12"/>
      <queryTableField id="13" name="ciudadcliente" tableColumnId="13"/>
      <queryTableField id="14" name="depcliente" tableColumnId="14"/>
      <queryTableField id="15" name="paiscliente" tableColumnId="15"/>
      <queryTableField id="16" name="codobraconf" tableColumnId="16"/>
      <queryTableField id="17" name="nameobra" tableColumnId="17"/>
      <queryTableField id="18" name="direccionobra" tableColumnId="18"/>
      <queryTableField id="19" name="ciudobra" tableColumnId="19"/>
      <queryTableField id="20" name="deptobra" tableColumnId="20"/>
      <queryTableField id="21" name="paisobra" tableColumnId="21"/>
      <queryTableField id="22" name="proyecto" tableColumnId="22"/>
      <queryTableField id="23" name="state" tableColumnId="23"/>
      <queryTableField id="24" name="inv410aa" tableColumnId="24"/>
      <queryTableField id="25" name="inv410ab" tableColumnId="25"/>
      <queryTableField id="26" name="inv410ac" tableColumnId="26"/>
      <queryTableField id="27" name="inv410ad" tableColumnId="27"/>
      <queryTableField id="28" name="inv410ad3" tableColumnId="28"/>
      <queryTableField id="29" name="inv410ae" tableColumnId="29"/>
      <queryTableField id="30" name="inv410af" tableColumnId="30"/>
      <queryTableField id="31" name="inv410ag" tableColumnId="31"/>
      <queryTableField id="32" name="inv410ah" tableColumnId="32"/>
      <queryTableField id="33" name="inv410ai" tableColumnId="33"/>
      <queryTableField id="34" name="inv410aj" tableColumnId="34"/>
      <queryTableField id="35" name="inv410ak" tableColumnId="35"/>
      <queryTableField id="36" name="inv410ak3" tableColumnId="36"/>
      <queryTableField id="37" name="inv410al" tableColumnId="37"/>
      <queryTableField id="38" name="inv410am" tableColumnId="38"/>
      <queryTableField id="39" name="inv410an" tableColumnId="39"/>
      <queryTableField id="40" name="inv410ao" tableColumnId="40"/>
      <queryTableField id="41" name="inv410ap" tableColumnId="41"/>
      <queryTableField id="42" name="inv410aq" tableColumnId="42"/>
      <queryTableField id="43" name="inv410ar" tableColumnId="43"/>
      <queryTableField id="44" name="inv410ar3" tableColumnId="44"/>
      <queryTableField id="45" name="inv410as" tableColumnId="45"/>
      <queryTableField id="46" name="inv410at" tableColumnId="46"/>
      <queryTableField id="47" name="inv410au" tableColumnId="47"/>
      <queryTableField id="48" name="cliente" tableColumnId="48"/>
      <queryTableField id="49" name="tipomat" tableColumnId="49"/>
      <queryTableField id="50" name="equipos" tableColumnId="5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1B2A10-62F3-469C-9A1C-79E4945F3D0F}" name="Tabla_Consulta_desde_idicolsrv143" displayName="Tabla_Consulta_desde_idicolsrv143" ref="A1:AX9" tableType="queryTable" totalsRowShown="0">
  <autoFilter ref="A1:AX9" xr:uid="{4E92038D-C54A-4D1A-9541-DA42FE13E04C}"/>
  <tableColumns count="50">
    <tableColumn id="1" xr3:uid="{1B8EA49E-0432-4AB8-AD5A-50148F1434FD}" uniqueName="1" name="consecutivo" queryTableFieldId="1"/>
    <tableColumn id="2" xr3:uid="{7668127F-0EF7-4983-A5B3-894921843DD7}" uniqueName="2" name="campo23" queryTableFieldId="2"/>
    <tableColumn id="3" xr3:uid="{8C5A75B5-0A64-430D-B04A-E9E9CCAD0BEF}" uniqueName="3" name="fecharecep" queryTableFieldId="3" dataDxfId="2"/>
    <tableColumn id="4" xr3:uid="{64D3BB2D-D132-44F0-A809-6CAEF8B7F430}" uniqueName="4" name="refint" queryTableFieldId="4"/>
    <tableColumn id="5" xr3:uid="{66078E65-2DC1-4D70-810C-D07D3F372818}" uniqueName="5" name="idext" queryTableFieldId="5"/>
    <tableColumn id="6" xr3:uid="{DE9EBBDE-EE9F-4E7F-9E88-547DFD9D9583}" uniqueName="6" name="loc" queryTableFieldId="6"/>
    <tableColumn id="7" xr3:uid="{143823D3-4F3A-4558-B383-5D0FFBCC65A5}" uniqueName="7" name="resist" queryTableFieldId="7"/>
    <tableColumn id="8" xr3:uid="{D3F8433D-0EFC-4CD3-BC24-38D3729BE183}" uniqueName="8" name="procedencia" queryTableFieldId="8"/>
    <tableColumn id="9" xr3:uid="{F8E37A79-8BA5-4C06-BD08-B02165AE5B00}" uniqueName="9" name="fechatoma" queryTableFieldId="9" dataDxfId="1"/>
    <tableColumn id="10" xr3:uid="{E4367CD8-A7EB-4989-8893-490CF5968B94}" uniqueName="10" name="date2" queryTableFieldId="10" dataDxfId="0"/>
    <tableColumn id="11" xr3:uid="{8E1C4D05-8110-49D9-86BE-F5934D57083F}" uniqueName="11" name="obsensayo" queryTableFieldId="11"/>
    <tableColumn id="12" xr3:uid="{14B2F2B0-8E2C-4378-87D4-340C897457BC}" uniqueName="12" name="dircliente" queryTableFieldId="12"/>
    <tableColumn id="13" xr3:uid="{909E6BBF-11D1-48AE-8931-29E2BD4302D9}" uniqueName="13" name="ciudadcliente" queryTableFieldId="13"/>
    <tableColumn id="14" xr3:uid="{71061378-2F99-4616-923E-574DC5056186}" uniqueName="14" name="depcliente" queryTableFieldId="14"/>
    <tableColumn id="15" xr3:uid="{A60E7711-1528-49BB-92FB-AD1964A9A06C}" uniqueName="15" name="paiscliente" queryTableFieldId="15"/>
    <tableColumn id="16" xr3:uid="{3859899D-3160-4E71-BCC7-AA00F6187EE2}" uniqueName="16" name="codobraconf" queryTableFieldId="16"/>
    <tableColumn id="17" xr3:uid="{480F6F6A-AB2F-43CC-A222-085A0CD29C1E}" uniqueName="17" name="nameobra" queryTableFieldId="17"/>
    <tableColumn id="18" xr3:uid="{AFB3CBF4-EE01-43C4-B9C4-CD11CAE2D585}" uniqueName="18" name="direccionobra" queryTableFieldId="18"/>
    <tableColumn id="19" xr3:uid="{F0798534-A96B-4AB2-9586-43AF970D84E9}" uniqueName="19" name="ciudobra" queryTableFieldId="19"/>
    <tableColumn id="20" xr3:uid="{9B739362-F3E6-4CA6-B0EC-A8737AD66840}" uniqueName="20" name="deptobra" queryTableFieldId="20"/>
    <tableColumn id="21" xr3:uid="{3D86C236-6915-411A-A794-0CFDB6718395}" uniqueName="21" name="paisobra" queryTableFieldId="21"/>
    <tableColumn id="22" xr3:uid="{18A0207F-67AF-4F31-97A6-CA687CDAC157}" uniqueName="22" name="proyecto" queryTableFieldId="22"/>
    <tableColumn id="23" xr3:uid="{3A26B2C4-AA1F-4085-BFCC-E013AEC6CDF2}" uniqueName="23" name="state" queryTableFieldId="23"/>
    <tableColumn id="24" xr3:uid="{521E3372-6DB8-4680-8538-6B31564F15F8}" uniqueName="24" name="inv410aa" queryTableFieldId="24"/>
    <tableColumn id="25" xr3:uid="{E5A540E9-65A6-4498-861D-FF1796C1D16E}" uniqueName="25" name="inv410ab" queryTableFieldId="25"/>
    <tableColumn id="26" xr3:uid="{02E80D43-5713-4CF4-92B0-305F837B835B}" uniqueName="26" name="inv410ac" queryTableFieldId="26"/>
    <tableColumn id="27" xr3:uid="{FDDCD055-4442-45C9-8881-1E036B1DF071}" uniqueName="27" name="inv410ad" queryTableFieldId="27"/>
    <tableColumn id="28" xr3:uid="{1391926D-E208-4B1E-A524-308D8139960C}" uniqueName="28" name="inv410ad3" queryTableFieldId="28"/>
    <tableColumn id="29" xr3:uid="{0D18A657-4AA0-4DBC-8BBB-6779494079E1}" uniqueName="29" name="inv410ae" queryTableFieldId="29"/>
    <tableColumn id="30" xr3:uid="{E1A6E6C6-DA41-4AA8-BC9C-6809E62A1CB7}" uniqueName="30" name="inv410af" queryTableFieldId="30"/>
    <tableColumn id="31" xr3:uid="{A6B8D1F0-BABA-4A93-A75B-6558FB8033A9}" uniqueName="31" name="inv410ag" queryTableFieldId="31"/>
    <tableColumn id="32" xr3:uid="{59ACF9B6-F515-41B1-B9E4-ABD9842B1E89}" uniqueName="32" name="inv410ah" queryTableFieldId="32"/>
    <tableColumn id="33" xr3:uid="{EB1C5254-31CC-4398-A331-A8CACFEFA7AF}" uniqueName="33" name="inv410ai" queryTableFieldId="33"/>
    <tableColumn id="34" xr3:uid="{3D8FEBF4-1A6C-43D5-96E8-354A5FBFFD18}" uniqueName="34" name="inv410aj" queryTableFieldId="34"/>
    <tableColumn id="35" xr3:uid="{1842F265-ED91-4A0D-A515-436419967F08}" uniqueName="35" name="inv410ak" queryTableFieldId="35"/>
    <tableColumn id="36" xr3:uid="{64C2CDCC-64A4-416F-9452-74588CE18458}" uniqueName="36" name="inv410ak3" queryTableFieldId="36"/>
    <tableColumn id="37" xr3:uid="{63045BF5-3D77-434F-A465-FCB459B588B3}" uniqueName="37" name="inv410al" queryTableFieldId="37"/>
    <tableColumn id="38" xr3:uid="{58ACC56B-7BAB-497C-81E6-6071D7D96D63}" uniqueName="38" name="inv410am" queryTableFieldId="38"/>
    <tableColumn id="39" xr3:uid="{B201B0B3-C3C6-41F5-B4B0-11DBEBDA4215}" uniqueName="39" name="inv410an" queryTableFieldId="39"/>
    <tableColumn id="40" xr3:uid="{34651787-3FC9-432E-94DB-87D2EDF8B048}" uniqueName="40" name="inv410ao" queryTableFieldId="40"/>
    <tableColumn id="41" xr3:uid="{9BD2774B-79EB-42BC-901D-508A0D7D4141}" uniqueName="41" name="inv410ap" queryTableFieldId="41"/>
    <tableColumn id="42" xr3:uid="{EC230A21-4729-46A9-A36D-5D9B73A6D71D}" uniqueName="42" name="inv410aq" queryTableFieldId="42"/>
    <tableColumn id="43" xr3:uid="{E308C6C6-DA5E-4C3D-8201-D1E122C6FB2F}" uniqueName="43" name="inv410ar" queryTableFieldId="43"/>
    <tableColumn id="44" xr3:uid="{7509990D-80C4-4A7C-8F35-CE7583E4CA48}" uniqueName="44" name="inv410ar3" queryTableFieldId="44"/>
    <tableColumn id="45" xr3:uid="{F49ECEDD-23F7-4734-A302-E7FF1F800646}" uniqueName="45" name="inv410as" queryTableFieldId="45"/>
    <tableColumn id="46" xr3:uid="{0EFB104A-1EEF-42D6-87C7-34F984CACBCE}" uniqueName="46" name="inv410at" queryTableFieldId="46"/>
    <tableColumn id="47" xr3:uid="{A32E14FB-F100-4EFB-8CEC-3C93922A96F8}" uniqueName="47" name="inv410au" queryTableFieldId="47"/>
    <tableColumn id="48" xr3:uid="{4DC0F607-A5ED-4B11-BA96-7F49D11EEA91}" uniqueName="48" name="cliente" queryTableFieldId="48"/>
    <tableColumn id="49" xr3:uid="{AF96DC9D-E32B-4817-B46D-7D46C7C8937A}" uniqueName="49" name="tipomat" queryTableFieldId="49"/>
    <tableColumn id="50" xr3:uid="{BDD5761A-A57D-4F76-8DE4-1FFA06F3BE66}" uniqueName="50" name="equipos" queryTableFieldId="5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A3D5B-0165-47D2-98B4-6534C8C63D17}">
  <sheetPr codeName="Hoja2"/>
  <dimension ref="A1:AX9"/>
  <sheetViews>
    <sheetView workbookViewId="0">
      <selection activeCell="F26" sqref="F26"/>
    </sheetView>
  </sheetViews>
  <sheetFormatPr baseColWidth="10" defaultRowHeight="15"/>
  <cols>
    <col min="1" max="1" width="13.85546875" bestFit="1" customWidth="1"/>
    <col min="2" max="2" width="11.140625" bestFit="1" customWidth="1"/>
    <col min="3" max="3" width="13.140625" bestFit="1" customWidth="1"/>
    <col min="4" max="4" width="8.28515625" bestFit="1" customWidth="1"/>
    <col min="5" max="5" width="14.85546875" bestFit="1" customWidth="1"/>
    <col min="6" max="6" width="65.85546875" bestFit="1" customWidth="1"/>
    <col min="7" max="7" width="8.140625" bestFit="1" customWidth="1"/>
    <col min="8" max="8" width="14.140625" bestFit="1" customWidth="1"/>
    <col min="9" max="9" width="12.7109375" bestFit="1" customWidth="1"/>
    <col min="10" max="10" width="10.7109375" bestFit="1" customWidth="1"/>
    <col min="11" max="11" width="12.7109375" bestFit="1" customWidth="1"/>
    <col min="12" max="12" width="18" bestFit="1" customWidth="1"/>
    <col min="13" max="13" width="15.28515625" bestFit="1" customWidth="1"/>
    <col min="14" max="14" width="12.85546875" bestFit="1" customWidth="1"/>
    <col min="15" max="15" width="13" bestFit="1" customWidth="1"/>
    <col min="16" max="17" width="14.28515625" bestFit="1" customWidth="1"/>
    <col min="18" max="18" width="37.140625" bestFit="1" customWidth="1"/>
    <col min="19" max="19" width="11" bestFit="1" customWidth="1"/>
    <col min="20" max="20" width="11.42578125" bestFit="1" customWidth="1"/>
    <col min="21" max="21" width="10.85546875" bestFit="1" customWidth="1"/>
    <col min="22" max="22" width="11.140625" bestFit="1" customWidth="1"/>
    <col min="23" max="23" width="11.28515625" bestFit="1" customWidth="1"/>
    <col min="24" max="24" width="11" bestFit="1" customWidth="1"/>
    <col min="25" max="25" width="11.140625" bestFit="1" customWidth="1"/>
    <col min="26" max="26" width="10.85546875" bestFit="1" customWidth="1"/>
    <col min="27" max="27" width="11.140625" bestFit="1" customWidth="1"/>
    <col min="28" max="28" width="12.140625" bestFit="1" customWidth="1"/>
    <col min="29" max="29" width="11.140625" bestFit="1" customWidth="1"/>
    <col min="30" max="30" width="10.7109375" bestFit="1" customWidth="1"/>
    <col min="31" max="31" width="11" bestFit="1" customWidth="1"/>
    <col min="32" max="32" width="11.140625" bestFit="1" customWidth="1"/>
    <col min="33" max="34" width="10.5703125" bestFit="1" customWidth="1"/>
    <col min="35" max="35" width="11" bestFit="1" customWidth="1"/>
    <col min="36" max="36" width="12" bestFit="1" customWidth="1"/>
    <col min="37" max="37" width="10.5703125" bestFit="1" customWidth="1"/>
    <col min="38" max="38" width="11.7109375" bestFit="1" customWidth="1"/>
    <col min="39" max="42" width="11.140625" bestFit="1" customWidth="1"/>
    <col min="43" max="43" width="10.7109375" bestFit="1" customWidth="1"/>
    <col min="44" max="44" width="11.7109375" bestFit="1" customWidth="1"/>
    <col min="45" max="45" width="10.85546875" bestFit="1" customWidth="1"/>
    <col min="46" max="46" width="10.7109375" bestFit="1" customWidth="1"/>
    <col min="47" max="47" width="11.140625" bestFit="1" customWidth="1"/>
    <col min="48" max="48" width="22" bestFit="1" customWidth="1"/>
    <col min="49" max="49" width="10.28515625" bestFit="1" customWidth="1"/>
    <col min="50" max="50" width="81.140625" bestFit="1" customWidth="1"/>
  </cols>
  <sheetData>
    <row r="1" spans="1:5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286</v>
      </c>
      <c r="H1" t="s">
        <v>7</v>
      </c>
      <c r="I1" t="s">
        <v>386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287</v>
      </c>
      <c r="Y1" t="s">
        <v>288</v>
      </c>
      <c r="Z1" t="s">
        <v>289</v>
      </c>
      <c r="AA1" t="s">
        <v>290</v>
      </c>
      <c r="AB1" t="s">
        <v>291</v>
      </c>
      <c r="AC1" t="s">
        <v>292</v>
      </c>
      <c r="AD1" t="s">
        <v>293</v>
      </c>
      <c r="AE1" t="s">
        <v>30</v>
      </c>
      <c r="AF1" t="s">
        <v>294</v>
      </c>
      <c r="AG1" t="s">
        <v>295</v>
      </c>
      <c r="AH1" t="s">
        <v>296</v>
      </c>
      <c r="AI1" t="s">
        <v>297</v>
      </c>
      <c r="AJ1" t="s">
        <v>298</v>
      </c>
      <c r="AK1" t="s">
        <v>299</v>
      </c>
      <c r="AL1" t="s">
        <v>300</v>
      </c>
      <c r="AM1" t="s">
        <v>38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46</v>
      </c>
      <c r="AV1" t="s">
        <v>47</v>
      </c>
      <c r="AW1" t="s">
        <v>48</v>
      </c>
      <c r="AX1" t="s">
        <v>49</v>
      </c>
    </row>
    <row r="2" spans="1:50">
      <c r="A2" t="s">
        <v>338</v>
      </c>
      <c r="B2" t="s">
        <v>339</v>
      </c>
      <c r="C2" s="44">
        <v>46090</v>
      </c>
      <c r="D2" t="s">
        <v>80</v>
      </c>
      <c r="E2" t="s">
        <v>340</v>
      </c>
      <c r="F2" t="s">
        <v>341</v>
      </c>
      <c r="G2">
        <v>27.58</v>
      </c>
      <c r="H2" t="s">
        <v>342</v>
      </c>
      <c r="I2" s="44">
        <v>46084</v>
      </c>
      <c r="J2" s="44">
        <v>46112</v>
      </c>
      <c r="L2" t="s">
        <v>172</v>
      </c>
      <c r="M2" t="s">
        <v>86</v>
      </c>
      <c r="N2" t="s">
        <v>86</v>
      </c>
      <c r="O2" t="s">
        <v>87</v>
      </c>
      <c r="P2" t="s">
        <v>181</v>
      </c>
      <c r="Q2" t="s">
        <v>183</v>
      </c>
      <c r="R2" t="s">
        <v>312</v>
      </c>
      <c r="S2" t="s">
        <v>86</v>
      </c>
      <c r="T2" t="s">
        <v>86</v>
      </c>
      <c r="U2" t="s">
        <v>87</v>
      </c>
      <c r="V2" t="s">
        <v>91</v>
      </c>
      <c r="W2" t="s">
        <v>92</v>
      </c>
      <c r="X2" t="s">
        <v>140</v>
      </c>
      <c r="Y2" t="s">
        <v>144</v>
      </c>
      <c r="Z2" t="s">
        <v>343</v>
      </c>
      <c r="AA2" t="s">
        <v>145</v>
      </c>
      <c r="AB2" t="s">
        <v>147</v>
      </c>
      <c r="AC2" t="s">
        <v>344</v>
      </c>
      <c r="AD2" t="s">
        <v>345</v>
      </c>
      <c r="AE2" t="s">
        <v>137</v>
      </c>
      <c r="AF2" t="s">
        <v>138</v>
      </c>
      <c r="AG2" t="s">
        <v>144</v>
      </c>
      <c r="AH2" t="s">
        <v>346</v>
      </c>
      <c r="AI2" t="s">
        <v>347</v>
      </c>
      <c r="AJ2" t="s">
        <v>145</v>
      </c>
      <c r="AK2" t="s">
        <v>348</v>
      </c>
      <c r="AL2" t="s">
        <v>349</v>
      </c>
      <c r="AM2" t="s">
        <v>137</v>
      </c>
      <c r="AN2" t="s">
        <v>140</v>
      </c>
      <c r="AO2" t="s">
        <v>350</v>
      </c>
      <c r="AP2" t="s">
        <v>146</v>
      </c>
      <c r="AQ2" t="s">
        <v>347</v>
      </c>
      <c r="AR2" t="s">
        <v>135</v>
      </c>
      <c r="AS2" t="s">
        <v>136</v>
      </c>
      <c r="AT2" t="s">
        <v>351</v>
      </c>
      <c r="AU2" t="s">
        <v>139</v>
      </c>
      <c r="AV2" t="s">
        <v>169</v>
      </c>
      <c r="AW2" t="s">
        <v>94</v>
      </c>
      <c r="AX2" t="s">
        <v>95</v>
      </c>
    </row>
    <row r="3" spans="1:50">
      <c r="A3" t="s">
        <v>352</v>
      </c>
      <c r="B3" t="s">
        <v>353</v>
      </c>
      <c r="C3" s="44">
        <v>46111</v>
      </c>
      <c r="D3" t="s">
        <v>80</v>
      </c>
      <c r="E3" t="s">
        <v>354</v>
      </c>
      <c r="F3" t="s">
        <v>355</v>
      </c>
      <c r="G3">
        <v>34.47</v>
      </c>
      <c r="H3" t="s">
        <v>186</v>
      </c>
      <c r="I3" s="44">
        <v>46105</v>
      </c>
      <c r="J3" s="44">
        <v>46112</v>
      </c>
      <c r="L3" t="s">
        <v>172</v>
      </c>
      <c r="M3" t="s">
        <v>86</v>
      </c>
      <c r="N3" t="s">
        <v>86</v>
      </c>
      <c r="O3" t="s">
        <v>87</v>
      </c>
      <c r="P3" t="s">
        <v>181</v>
      </c>
      <c r="Q3" t="s">
        <v>183</v>
      </c>
      <c r="R3" t="s">
        <v>312</v>
      </c>
      <c r="S3" t="s">
        <v>86</v>
      </c>
      <c r="T3" t="s">
        <v>86</v>
      </c>
      <c r="U3" t="s">
        <v>87</v>
      </c>
      <c r="V3" t="s">
        <v>91</v>
      </c>
      <c r="W3" t="s">
        <v>92</v>
      </c>
      <c r="X3" t="s">
        <v>313</v>
      </c>
      <c r="Y3" t="s">
        <v>320</v>
      </c>
      <c r="Z3" t="s">
        <v>315</v>
      </c>
      <c r="AA3" t="s">
        <v>315</v>
      </c>
      <c r="AB3" t="s">
        <v>315</v>
      </c>
      <c r="AC3" t="s">
        <v>356</v>
      </c>
      <c r="AD3" t="s">
        <v>357</v>
      </c>
      <c r="AE3" t="s">
        <v>158</v>
      </c>
      <c r="AF3" t="s">
        <v>320</v>
      </c>
      <c r="AG3" t="s">
        <v>313</v>
      </c>
      <c r="AH3" t="s">
        <v>315</v>
      </c>
      <c r="AI3" t="s">
        <v>314</v>
      </c>
      <c r="AJ3" t="s">
        <v>315</v>
      </c>
      <c r="AK3" t="s">
        <v>358</v>
      </c>
      <c r="AL3" t="s">
        <v>359</v>
      </c>
      <c r="AM3" t="s">
        <v>142</v>
      </c>
      <c r="AN3" t="s">
        <v>313</v>
      </c>
      <c r="AO3" t="s">
        <v>313</v>
      </c>
      <c r="AP3" t="s">
        <v>315</v>
      </c>
      <c r="AQ3" t="s">
        <v>314</v>
      </c>
      <c r="AR3" t="s">
        <v>315</v>
      </c>
      <c r="AS3" t="s">
        <v>360</v>
      </c>
      <c r="AT3" t="s">
        <v>361</v>
      </c>
      <c r="AU3" t="s">
        <v>158</v>
      </c>
      <c r="AV3" t="s">
        <v>169</v>
      </c>
      <c r="AW3" t="s">
        <v>94</v>
      </c>
      <c r="AX3" t="s">
        <v>95</v>
      </c>
    </row>
    <row r="4" spans="1:50">
      <c r="A4" t="s">
        <v>362</v>
      </c>
      <c r="B4" t="s">
        <v>363</v>
      </c>
      <c r="C4" s="44">
        <v>46111</v>
      </c>
      <c r="D4" t="s">
        <v>80</v>
      </c>
      <c r="E4" t="s">
        <v>364</v>
      </c>
      <c r="F4" t="s">
        <v>194</v>
      </c>
      <c r="G4">
        <v>34.47</v>
      </c>
      <c r="H4" t="s">
        <v>186</v>
      </c>
      <c r="I4" s="44">
        <v>46105</v>
      </c>
      <c r="J4" s="44">
        <v>46112</v>
      </c>
      <c r="L4" t="s">
        <v>172</v>
      </c>
      <c r="M4" t="s">
        <v>86</v>
      </c>
      <c r="N4" t="s">
        <v>86</v>
      </c>
      <c r="O4" t="s">
        <v>87</v>
      </c>
      <c r="P4" t="s">
        <v>181</v>
      </c>
      <c r="Q4" t="s">
        <v>183</v>
      </c>
      <c r="R4" t="s">
        <v>312</v>
      </c>
      <c r="S4" t="s">
        <v>86</v>
      </c>
      <c r="T4" t="s">
        <v>86</v>
      </c>
      <c r="U4" t="s">
        <v>87</v>
      </c>
      <c r="V4" t="s">
        <v>91</v>
      </c>
      <c r="W4" t="s">
        <v>92</v>
      </c>
      <c r="X4" t="s">
        <v>313</v>
      </c>
      <c r="Y4" t="s">
        <v>320</v>
      </c>
      <c r="Z4" t="s">
        <v>315</v>
      </c>
      <c r="AA4" t="s">
        <v>314</v>
      </c>
      <c r="AB4" t="s">
        <v>314</v>
      </c>
      <c r="AC4" t="s">
        <v>365</v>
      </c>
      <c r="AD4" t="s">
        <v>366</v>
      </c>
      <c r="AE4" t="s">
        <v>142</v>
      </c>
      <c r="AF4" t="s">
        <v>313</v>
      </c>
      <c r="AG4" t="s">
        <v>313</v>
      </c>
      <c r="AH4" t="s">
        <v>314</v>
      </c>
      <c r="AI4" t="s">
        <v>315</v>
      </c>
      <c r="AJ4" t="s">
        <v>315</v>
      </c>
      <c r="AK4" t="s">
        <v>367</v>
      </c>
      <c r="AL4" t="s">
        <v>368</v>
      </c>
      <c r="AM4" t="s">
        <v>142</v>
      </c>
      <c r="AN4" t="s">
        <v>320</v>
      </c>
      <c r="AO4" t="s">
        <v>320</v>
      </c>
      <c r="AP4" t="s">
        <v>315</v>
      </c>
      <c r="AQ4" t="s">
        <v>315</v>
      </c>
      <c r="AR4" t="s">
        <v>315</v>
      </c>
      <c r="AS4" t="s">
        <v>365</v>
      </c>
      <c r="AT4" t="s">
        <v>369</v>
      </c>
      <c r="AU4" t="s">
        <v>142</v>
      </c>
      <c r="AV4" t="s">
        <v>169</v>
      </c>
      <c r="AW4" t="s">
        <v>94</v>
      </c>
      <c r="AX4" t="s">
        <v>95</v>
      </c>
    </row>
    <row r="5" spans="1:50">
      <c r="A5" t="s">
        <v>309</v>
      </c>
      <c r="B5" t="s">
        <v>310</v>
      </c>
      <c r="C5" s="45">
        <v>46111</v>
      </c>
      <c r="D5" t="s">
        <v>80</v>
      </c>
      <c r="E5" t="s">
        <v>311</v>
      </c>
      <c r="F5" t="s">
        <v>194</v>
      </c>
      <c r="G5">
        <v>34.47</v>
      </c>
      <c r="H5" t="s">
        <v>186</v>
      </c>
      <c r="I5" s="45">
        <v>46105</v>
      </c>
      <c r="J5" s="45">
        <v>46111</v>
      </c>
      <c r="L5" t="s">
        <v>172</v>
      </c>
      <c r="M5" t="s">
        <v>86</v>
      </c>
      <c r="N5" t="s">
        <v>86</v>
      </c>
      <c r="O5" t="s">
        <v>87</v>
      </c>
      <c r="P5" t="s">
        <v>181</v>
      </c>
      <c r="Q5" t="s">
        <v>183</v>
      </c>
      <c r="R5" t="s">
        <v>312</v>
      </c>
      <c r="S5" t="s">
        <v>86</v>
      </c>
      <c r="T5" t="s">
        <v>86</v>
      </c>
      <c r="U5" t="s">
        <v>87</v>
      </c>
      <c r="V5" t="s">
        <v>91</v>
      </c>
      <c r="W5" t="s">
        <v>92</v>
      </c>
      <c r="X5" t="s">
        <v>313</v>
      </c>
      <c r="Y5" t="s">
        <v>313</v>
      </c>
      <c r="Z5" t="s">
        <v>314</v>
      </c>
      <c r="AA5" t="s">
        <v>314</v>
      </c>
      <c r="AB5" t="s">
        <v>315</v>
      </c>
      <c r="AC5" t="s">
        <v>316</v>
      </c>
      <c r="AD5" t="s">
        <v>317</v>
      </c>
      <c r="AE5" t="s">
        <v>318</v>
      </c>
      <c r="AF5" t="s">
        <v>313</v>
      </c>
      <c r="AG5" t="s">
        <v>313</v>
      </c>
      <c r="AH5" t="s">
        <v>315</v>
      </c>
      <c r="AI5" t="s">
        <v>315</v>
      </c>
      <c r="AJ5" t="s">
        <v>314</v>
      </c>
      <c r="AK5" t="s">
        <v>319</v>
      </c>
      <c r="AL5" t="s">
        <v>141</v>
      </c>
      <c r="AM5" t="s">
        <v>142</v>
      </c>
      <c r="AN5" t="s">
        <v>313</v>
      </c>
      <c r="AO5" t="s">
        <v>320</v>
      </c>
      <c r="AP5" t="s">
        <v>315</v>
      </c>
      <c r="AQ5" t="s">
        <v>314</v>
      </c>
      <c r="AR5" t="s">
        <v>314</v>
      </c>
      <c r="AS5" t="s">
        <v>143</v>
      </c>
      <c r="AT5" t="s">
        <v>321</v>
      </c>
      <c r="AU5" t="s">
        <v>318</v>
      </c>
      <c r="AV5" t="s">
        <v>169</v>
      </c>
      <c r="AW5" t="s">
        <v>94</v>
      </c>
      <c r="AX5" t="s">
        <v>95</v>
      </c>
    </row>
    <row r="6" spans="1:50">
      <c r="A6" t="s">
        <v>370</v>
      </c>
      <c r="B6" t="s">
        <v>310</v>
      </c>
      <c r="C6" s="45">
        <v>46111</v>
      </c>
      <c r="D6" t="s">
        <v>80</v>
      </c>
      <c r="E6" t="s">
        <v>311</v>
      </c>
      <c r="F6" t="s">
        <v>194</v>
      </c>
      <c r="G6">
        <v>34.47</v>
      </c>
      <c r="H6" t="s">
        <v>186</v>
      </c>
      <c r="I6" s="45">
        <v>46105</v>
      </c>
      <c r="J6" s="45">
        <v>46112</v>
      </c>
      <c r="L6" t="s">
        <v>172</v>
      </c>
      <c r="M6" t="s">
        <v>86</v>
      </c>
      <c r="N6" t="s">
        <v>86</v>
      </c>
      <c r="O6" t="s">
        <v>87</v>
      </c>
      <c r="P6" t="s">
        <v>181</v>
      </c>
      <c r="Q6" t="s">
        <v>183</v>
      </c>
      <c r="R6" t="s">
        <v>312</v>
      </c>
      <c r="S6" t="s">
        <v>86</v>
      </c>
      <c r="T6" t="s">
        <v>86</v>
      </c>
      <c r="U6" t="s">
        <v>87</v>
      </c>
      <c r="V6" t="s">
        <v>91</v>
      </c>
      <c r="W6" t="s">
        <v>92</v>
      </c>
      <c r="X6" t="s">
        <v>313</v>
      </c>
      <c r="Y6" t="s">
        <v>320</v>
      </c>
      <c r="Z6" t="s">
        <v>315</v>
      </c>
      <c r="AA6" t="s">
        <v>315</v>
      </c>
      <c r="AB6" t="s">
        <v>314</v>
      </c>
      <c r="AC6" t="s">
        <v>371</v>
      </c>
      <c r="AD6" t="s">
        <v>372</v>
      </c>
      <c r="AE6" t="s">
        <v>318</v>
      </c>
      <c r="AF6" t="s">
        <v>313</v>
      </c>
      <c r="AG6" t="s">
        <v>320</v>
      </c>
      <c r="AH6" t="s">
        <v>315</v>
      </c>
      <c r="AI6" t="s">
        <v>315</v>
      </c>
      <c r="AJ6" t="s">
        <v>314</v>
      </c>
      <c r="AK6" t="s">
        <v>373</v>
      </c>
      <c r="AL6" t="s">
        <v>374</v>
      </c>
      <c r="AM6" t="s">
        <v>142</v>
      </c>
      <c r="AN6" t="s">
        <v>313</v>
      </c>
      <c r="AO6" t="s">
        <v>313</v>
      </c>
      <c r="AP6" t="s">
        <v>314</v>
      </c>
      <c r="AQ6" t="s">
        <v>314</v>
      </c>
      <c r="AR6" t="s">
        <v>314</v>
      </c>
      <c r="AS6" t="s">
        <v>375</v>
      </c>
      <c r="AT6" t="s">
        <v>376</v>
      </c>
      <c r="AU6" t="s">
        <v>318</v>
      </c>
      <c r="AV6" t="s">
        <v>169</v>
      </c>
      <c r="AW6" t="s">
        <v>94</v>
      </c>
      <c r="AX6" t="s">
        <v>95</v>
      </c>
    </row>
    <row r="7" spans="1:50">
      <c r="A7" t="s">
        <v>377</v>
      </c>
      <c r="B7" t="s">
        <v>378</v>
      </c>
      <c r="C7" s="45">
        <v>46111</v>
      </c>
      <c r="D7" t="s">
        <v>80</v>
      </c>
      <c r="E7" t="s">
        <v>379</v>
      </c>
      <c r="F7" t="s">
        <v>194</v>
      </c>
      <c r="G7">
        <v>34.47</v>
      </c>
      <c r="H7" t="s">
        <v>186</v>
      </c>
      <c r="I7" s="45">
        <v>46105</v>
      </c>
      <c r="J7" s="45">
        <v>46112</v>
      </c>
      <c r="L7" t="s">
        <v>172</v>
      </c>
      <c r="M7" t="s">
        <v>86</v>
      </c>
      <c r="N7" t="s">
        <v>86</v>
      </c>
      <c r="O7" t="s">
        <v>87</v>
      </c>
      <c r="P7" t="s">
        <v>181</v>
      </c>
      <c r="Q7" t="s">
        <v>183</v>
      </c>
      <c r="R7" t="s">
        <v>312</v>
      </c>
      <c r="S7" t="s">
        <v>86</v>
      </c>
      <c r="T7" t="s">
        <v>86</v>
      </c>
      <c r="U7" t="s">
        <v>87</v>
      </c>
      <c r="V7" t="s">
        <v>91</v>
      </c>
      <c r="W7" t="s">
        <v>92</v>
      </c>
      <c r="X7" t="s">
        <v>320</v>
      </c>
      <c r="Y7" t="s">
        <v>313</v>
      </c>
      <c r="Z7" t="s">
        <v>315</v>
      </c>
      <c r="AA7" t="s">
        <v>315</v>
      </c>
      <c r="AB7" t="s">
        <v>314</v>
      </c>
      <c r="AC7" t="s">
        <v>380</v>
      </c>
      <c r="AD7" t="s">
        <v>381</v>
      </c>
      <c r="AE7" t="s">
        <v>318</v>
      </c>
      <c r="AF7" t="s">
        <v>313</v>
      </c>
      <c r="AG7" t="s">
        <v>313</v>
      </c>
      <c r="AH7" t="s">
        <v>314</v>
      </c>
      <c r="AI7" t="s">
        <v>315</v>
      </c>
      <c r="AJ7" t="s">
        <v>315</v>
      </c>
      <c r="AK7" t="s">
        <v>382</v>
      </c>
      <c r="AL7" t="s">
        <v>383</v>
      </c>
      <c r="AM7" t="s">
        <v>158</v>
      </c>
      <c r="AN7" t="s">
        <v>320</v>
      </c>
      <c r="AO7" t="s">
        <v>320</v>
      </c>
      <c r="AP7" t="s">
        <v>315</v>
      </c>
      <c r="AQ7" t="s">
        <v>314</v>
      </c>
      <c r="AR7" t="s">
        <v>314</v>
      </c>
      <c r="AS7" t="s">
        <v>384</v>
      </c>
      <c r="AT7" t="s">
        <v>385</v>
      </c>
      <c r="AU7" t="s">
        <v>142</v>
      </c>
      <c r="AV7" t="s">
        <v>169</v>
      </c>
      <c r="AW7" t="s">
        <v>94</v>
      </c>
      <c r="AX7" t="s">
        <v>95</v>
      </c>
    </row>
    <row r="8" spans="1:50">
      <c r="A8" t="s">
        <v>322</v>
      </c>
      <c r="B8" t="s">
        <v>323</v>
      </c>
      <c r="C8" s="45">
        <v>46112</v>
      </c>
      <c r="D8" t="s">
        <v>80</v>
      </c>
      <c r="E8" t="s">
        <v>324</v>
      </c>
      <c r="F8" t="s">
        <v>194</v>
      </c>
      <c r="G8">
        <v>34.47</v>
      </c>
      <c r="H8" t="s">
        <v>186</v>
      </c>
      <c r="I8" s="45">
        <v>46105</v>
      </c>
      <c r="J8" s="45">
        <v>46112</v>
      </c>
      <c r="L8" t="s">
        <v>172</v>
      </c>
      <c r="M8" t="s">
        <v>86</v>
      </c>
      <c r="N8" t="s">
        <v>86</v>
      </c>
      <c r="O8" t="s">
        <v>87</v>
      </c>
      <c r="P8" t="s">
        <v>181</v>
      </c>
      <c r="Q8" t="s">
        <v>183</v>
      </c>
      <c r="R8" t="s">
        <v>312</v>
      </c>
      <c r="S8" t="s">
        <v>86</v>
      </c>
      <c r="T8" t="s">
        <v>86</v>
      </c>
      <c r="U8" t="s">
        <v>87</v>
      </c>
      <c r="V8" t="s">
        <v>91</v>
      </c>
      <c r="W8" t="s">
        <v>92</v>
      </c>
      <c r="X8" t="s">
        <v>320</v>
      </c>
      <c r="Y8" t="s">
        <v>320</v>
      </c>
      <c r="Z8" t="s">
        <v>315</v>
      </c>
      <c r="AA8" t="s">
        <v>315</v>
      </c>
      <c r="AB8" t="s">
        <v>314</v>
      </c>
      <c r="AC8" t="s">
        <v>325</v>
      </c>
      <c r="AD8" t="s">
        <v>326</v>
      </c>
      <c r="AE8" t="s">
        <v>318</v>
      </c>
      <c r="AF8" t="s">
        <v>320</v>
      </c>
      <c r="AG8" t="s">
        <v>320</v>
      </c>
      <c r="AH8" t="s">
        <v>315</v>
      </c>
      <c r="AI8" t="s">
        <v>315</v>
      </c>
      <c r="AJ8" t="s">
        <v>315</v>
      </c>
      <c r="AK8" t="s">
        <v>327</v>
      </c>
      <c r="AL8" t="s">
        <v>328</v>
      </c>
      <c r="AM8" t="s">
        <v>318</v>
      </c>
      <c r="AN8" t="s">
        <v>313</v>
      </c>
      <c r="AO8" t="s">
        <v>313</v>
      </c>
      <c r="AP8" t="s">
        <v>314</v>
      </c>
      <c r="AQ8" t="s">
        <v>315</v>
      </c>
      <c r="AR8" t="s">
        <v>315</v>
      </c>
      <c r="AS8" t="s">
        <v>329</v>
      </c>
      <c r="AT8" t="s">
        <v>330</v>
      </c>
      <c r="AU8" t="s">
        <v>142</v>
      </c>
      <c r="AV8" t="s">
        <v>169</v>
      </c>
      <c r="AW8" t="s">
        <v>94</v>
      </c>
      <c r="AX8" t="s">
        <v>95</v>
      </c>
    </row>
    <row r="9" spans="1:50">
      <c r="A9" t="s">
        <v>331</v>
      </c>
      <c r="B9" t="s">
        <v>156</v>
      </c>
      <c r="C9" s="45">
        <v>46112</v>
      </c>
      <c r="D9" t="s">
        <v>80</v>
      </c>
      <c r="E9" t="s">
        <v>192</v>
      </c>
      <c r="F9" t="s">
        <v>194</v>
      </c>
      <c r="G9">
        <v>34.47</v>
      </c>
      <c r="H9" t="s">
        <v>186</v>
      </c>
      <c r="I9" s="45">
        <v>46105</v>
      </c>
      <c r="J9" s="45">
        <v>46112</v>
      </c>
      <c r="L9" t="s">
        <v>172</v>
      </c>
      <c r="M9" t="s">
        <v>86</v>
      </c>
      <c r="N9" t="s">
        <v>86</v>
      </c>
      <c r="O9" t="s">
        <v>87</v>
      </c>
      <c r="P9" t="s">
        <v>181</v>
      </c>
      <c r="Q9" t="s">
        <v>183</v>
      </c>
      <c r="R9" t="s">
        <v>312</v>
      </c>
      <c r="S9" t="s">
        <v>86</v>
      </c>
      <c r="T9" t="s">
        <v>86</v>
      </c>
      <c r="U9" t="s">
        <v>87</v>
      </c>
      <c r="V9" t="s">
        <v>91</v>
      </c>
      <c r="W9" t="s">
        <v>92</v>
      </c>
      <c r="X9" t="s">
        <v>313</v>
      </c>
      <c r="Y9" t="s">
        <v>320</v>
      </c>
      <c r="Z9" t="s">
        <v>315</v>
      </c>
      <c r="AA9" t="s">
        <v>315</v>
      </c>
      <c r="AB9" t="s">
        <v>315</v>
      </c>
      <c r="AC9" t="s">
        <v>332</v>
      </c>
      <c r="AD9" t="s">
        <v>333</v>
      </c>
      <c r="AE9" t="s">
        <v>318</v>
      </c>
      <c r="AF9" t="s">
        <v>313</v>
      </c>
      <c r="AG9" t="s">
        <v>320</v>
      </c>
      <c r="AH9" t="s">
        <v>314</v>
      </c>
      <c r="AI9" t="s">
        <v>314</v>
      </c>
      <c r="AJ9" t="s">
        <v>314</v>
      </c>
      <c r="AK9" t="s">
        <v>334</v>
      </c>
      <c r="AL9" t="s">
        <v>335</v>
      </c>
      <c r="AM9" t="s">
        <v>142</v>
      </c>
      <c r="AN9" t="s">
        <v>320</v>
      </c>
      <c r="AO9" t="s">
        <v>313</v>
      </c>
      <c r="AP9" t="s">
        <v>314</v>
      </c>
      <c r="AQ9" t="s">
        <v>315</v>
      </c>
      <c r="AR9" t="s">
        <v>315</v>
      </c>
      <c r="AS9" t="s">
        <v>336</v>
      </c>
      <c r="AT9" t="s">
        <v>337</v>
      </c>
      <c r="AU9" t="s">
        <v>142</v>
      </c>
      <c r="AV9" t="s">
        <v>169</v>
      </c>
      <c r="AW9" t="s">
        <v>94</v>
      </c>
      <c r="AX9" t="s">
        <v>95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Z9"/>
  <sheetViews>
    <sheetView tabSelected="1" workbookViewId="0">
      <selection activeCell="A2" sqref="A2:AX9"/>
    </sheetView>
  </sheetViews>
  <sheetFormatPr baseColWidth="10" defaultColWidth="9.140625" defaultRowHeight="15"/>
  <cols>
    <col min="1" max="1" width="12.28515625" customWidth="1"/>
    <col min="2" max="2" width="9.140625" customWidth="1"/>
    <col min="3" max="3" width="10.85546875" customWidth="1"/>
    <col min="4" max="4" width="13" customWidth="1"/>
    <col min="5" max="5" width="9.140625" customWidth="1"/>
    <col min="6" max="6" width="13" customWidth="1"/>
    <col min="7" max="7" width="3.85546875" bestFit="1" customWidth="1"/>
    <col min="8" max="8" width="13" customWidth="1"/>
    <col min="9" max="10" width="10.7109375" customWidth="1"/>
    <col min="11" max="11" width="10.42578125" customWidth="1"/>
    <col min="12" max="23" width="13" customWidth="1"/>
    <col min="24" max="25" width="6.5703125" bestFit="1" customWidth="1"/>
    <col min="26" max="28" width="4" bestFit="1" customWidth="1"/>
    <col min="29" max="29" width="6" bestFit="1" customWidth="1"/>
    <col min="30" max="30" width="5.7109375" bestFit="1" customWidth="1"/>
    <col min="31" max="31" width="9.140625" customWidth="1"/>
    <col min="32" max="33" width="6.5703125" customWidth="1"/>
    <col min="34" max="35" width="4" customWidth="1"/>
    <col min="36" max="36" width="4.28515625" customWidth="1"/>
    <col min="37" max="37" width="6" customWidth="1"/>
    <col min="38" max="38" width="5.5703125" bestFit="1" customWidth="1"/>
    <col min="39" max="39" width="9.140625" customWidth="1"/>
    <col min="40" max="41" width="6.5703125" customWidth="1"/>
    <col min="42" max="44" width="4" customWidth="1"/>
    <col min="45" max="45" width="6" customWidth="1"/>
    <col min="46" max="46" width="5.5703125" bestFit="1" customWidth="1"/>
    <col min="47" max="50" width="9.140625" customWidth="1"/>
    <col min="51" max="51" width="1.7109375" customWidth="1"/>
    <col min="52" max="52" width="6" bestFit="1" customWidth="1"/>
    <col min="53" max="53" width="1.7109375" customWidth="1"/>
    <col min="54" max="54" width="9.85546875" customWidth="1"/>
    <col min="55" max="55" width="9" customWidth="1"/>
    <col min="56" max="56" width="4.5703125" customWidth="1"/>
    <col min="57" max="57" width="5.5703125" customWidth="1"/>
    <col min="58" max="58" width="5" customWidth="1"/>
    <col min="59" max="59" width="8" customWidth="1"/>
    <col min="60" max="60" width="4.5703125" customWidth="1"/>
    <col min="61" max="61" width="5.5703125" customWidth="1"/>
    <col min="62" max="62" width="7" bestFit="1" customWidth="1"/>
    <col min="63" max="63" width="7" customWidth="1"/>
    <col min="64" max="64" width="4.5703125" customWidth="1"/>
    <col min="65" max="65" width="5.5703125" customWidth="1"/>
    <col min="66" max="66" width="4.7109375" bestFit="1" customWidth="1"/>
    <col min="67" max="67" width="8.42578125" bestFit="1" customWidth="1"/>
    <col min="69" max="77" width="9.140625" hidden="1" customWidth="1"/>
    <col min="78" max="78" width="13" hidden="1" customWidth="1"/>
  </cols>
  <sheetData>
    <row r="1" spans="1:77" s="3" customFormat="1" ht="115.15" customHeight="1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2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2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Z1" s="4" t="s">
        <v>51</v>
      </c>
      <c r="BB1" s="5" t="s">
        <v>53</v>
      </c>
      <c r="BC1" s="6" t="s">
        <v>54</v>
      </c>
      <c r="BD1" s="6" t="s">
        <v>55</v>
      </c>
      <c r="BE1" s="6" t="s">
        <v>56</v>
      </c>
      <c r="BF1" s="6" t="s">
        <v>57</v>
      </c>
      <c r="BG1" s="6" t="s">
        <v>58</v>
      </c>
      <c r="BH1" s="6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</row>
    <row r="2" spans="1:77">
      <c r="A2" s="178" t="s">
        <v>338</v>
      </c>
      <c r="B2" s="179" t="s">
        <v>339</v>
      </c>
      <c r="C2" s="180">
        <v>46090</v>
      </c>
      <c r="D2" s="179" t="s">
        <v>80</v>
      </c>
      <c r="E2" s="179" t="s">
        <v>340</v>
      </c>
      <c r="F2" s="179" t="s">
        <v>341</v>
      </c>
      <c r="G2" s="179">
        <v>27.58</v>
      </c>
      <c r="H2" s="179" t="s">
        <v>342</v>
      </c>
      <c r="I2" s="180">
        <v>46084</v>
      </c>
      <c r="J2" s="180">
        <v>46112</v>
      </c>
      <c r="K2" s="179"/>
      <c r="L2" s="179" t="s">
        <v>172</v>
      </c>
      <c r="M2" s="179" t="s">
        <v>86</v>
      </c>
      <c r="N2" s="179" t="s">
        <v>86</v>
      </c>
      <c r="O2" s="179" t="s">
        <v>87</v>
      </c>
      <c r="P2" s="179" t="s">
        <v>181</v>
      </c>
      <c r="Q2" s="179" t="s">
        <v>183</v>
      </c>
      <c r="R2" s="179" t="s">
        <v>312</v>
      </c>
      <c r="S2" s="179" t="s">
        <v>86</v>
      </c>
      <c r="T2" s="179" t="s">
        <v>86</v>
      </c>
      <c r="U2" s="179" t="s">
        <v>87</v>
      </c>
      <c r="V2" s="179" t="s">
        <v>91</v>
      </c>
      <c r="W2" s="179" t="s">
        <v>92</v>
      </c>
      <c r="X2" s="179" t="s">
        <v>140</v>
      </c>
      <c r="Y2" s="179" t="s">
        <v>144</v>
      </c>
      <c r="Z2" s="179" t="s">
        <v>343</v>
      </c>
      <c r="AA2" s="179" t="s">
        <v>145</v>
      </c>
      <c r="AB2" s="179" t="s">
        <v>147</v>
      </c>
      <c r="AC2" s="179" t="s">
        <v>344</v>
      </c>
      <c r="AD2" s="179" t="s">
        <v>345</v>
      </c>
      <c r="AE2" s="179" t="s">
        <v>137</v>
      </c>
      <c r="AF2" s="179" t="s">
        <v>138</v>
      </c>
      <c r="AG2" s="179" t="s">
        <v>144</v>
      </c>
      <c r="AH2" s="179" t="s">
        <v>346</v>
      </c>
      <c r="AI2" s="179" t="s">
        <v>347</v>
      </c>
      <c r="AJ2" s="179" t="s">
        <v>145</v>
      </c>
      <c r="AK2" s="179" t="s">
        <v>348</v>
      </c>
      <c r="AL2" s="179" t="s">
        <v>349</v>
      </c>
      <c r="AM2" s="179" t="s">
        <v>137</v>
      </c>
      <c r="AN2" s="179" t="s">
        <v>140</v>
      </c>
      <c r="AO2" s="179" t="s">
        <v>350</v>
      </c>
      <c r="AP2" s="179" t="s">
        <v>146</v>
      </c>
      <c r="AQ2" s="179" t="s">
        <v>347</v>
      </c>
      <c r="AR2" s="179" t="s">
        <v>135</v>
      </c>
      <c r="AS2" s="179" t="s">
        <v>136</v>
      </c>
      <c r="AT2" s="179" t="s">
        <v>351</v>
      </c>
      <c r="AU2" s="179" t="s">
        <v>139</v>
      </c>
      <c r="AV2" s="179" t="s">
        <v>169</v>
      </c>
      <c r="AW2" s="179" t="s">
        <v>94</v>
      </c>
      <c r="AX2" s="181" t="s">
        <v>95</v>
      </c>
      <c r="AY2" s="10"/>
      <c r="AZ2" s="11">
        <f t="shared" ref="AZ2:AZ9" si="0">IF(J2=0,"-",J2-I2)</f>
        <v>28</v>
      </c>
      <c r="BA2" s="10"/>
      <c r="BB2" s="12">
        <f t="array" ref="BB2">IF(AC2=0,"-",(AC2/(((PI()*BC2*BC2)/4)*AVERAGE(_xlfn.NUMBERVALUE(Z2:AB2))))*1000000)</f>
        <v>2171.7584176549703</v>
      </c>
      <c r="BC2" s="13">
        <f t="array" ref="BC2">IF(X2=0,"-",AVERAGE(_xlfn.NUMBERVALUE(X2:Y2)))</f>
        <v>100.83000000000001</v>
      </c>
      <c r="BD2" s="14">
        <f t="shared" ref="BD2:BD9" si="1">IF(AD2=0,"-",_xlfn.NUMBERVALUE(AD2)*1000/((PI()*BC2*BC2)/4))</f>
        <v>39.311706792992112</v>
      </c>
      <c r="BE2" s="14">
        <f t="shared" ref="BE2:BE9" si="2">IF(BD2="-","-",(BD2/G2)*100)</f>
        <v>142.53700795138548</v>
      </c>
      <c r="BF2" s="12">
        <f t="array" ref="BF2">IF(AK2=0,"-",(AK2/(((PI()*BG2*BG2)/4)*AVERAGE(_xlfn.NUMBERVALUE(AH2:AJ2))))*1000000)</f>
        <v>2168.9106479421062</v>
      </c>
      <c r="BG2" s="13">
        <f t="array" ref="BG2">IF(AF2=0,"-",AVERAGE(_xlfn.NUMBERVALUE(AF2:AG2)))</f>
        <v>100.78</v>
      </c>
      <c r="BH2" s="14">
        <f t="shared" ref="BH2:BH9" si="3">IF(AL2=0,"-",_xlfn.NUMBERVALUE(AL2)*1000/((PI()*BG2*BG2)/4))</f>
        <v>34.160790913267057</v>
      </c>
      <c r="BI2" s="14">
        <f t="shared" ref="BI2:BI9" si="4">IF(BH2="-","-",(BH2/G2)*100)</f>
        <v>123.86073572613148</v>
      </c>
      <c r="BJ2" s="12">
        <f t="array" ref="BJ2">IF(AS2=0,"-",(AS2/(((PI()*BK2*BK2)/4)*AVERAGE(_xlfn.NUMBERVALUE(AP2:AR2))))*1000000)</f>
        <v>2198.7244353297083</v>
      </c>
      <c r="BK2" s="13">
        <f t="array" ref="BK2">IF(AN2=0,"-",AVERAGE(_xlfn.NUMBERVALUE(AN2:AO2)))</f>
        <v>100.5</v>
      </c>
      <c r="BL2" s="14">
        <f t="shared" ref="BL2:BL9" si="5">IF(AT2=0,"-",_xlfn.NUMBERVALUE(AT2)*1000/((PI()*BK2*BK2)/4))</f>
        <v>37.06169908191756</v>
      </c>
      <c r="BM2" s="14">
        <f t="shared" ref="BM2:BM9" si="6">IF(BL2="-","-",(BL2/G2)*100)</f>
        <v>134.37889442319636</v>
      </c>
      <c r="BN2" s="14">
        <f t="shared" ref="BN2:BO9" si="7">IF(BD2="-","-",AVERAGE(BD2,BH2,BL2))</f>
        <v>36.844732262725579</v>
      </c>
      <c r="BO2" s="14">
        <f t="shared" si="7"/>
        <v>133.59221270023775</v>
      </c>
      <c r="BQ2">
        <f t="shared" ref="BQ2:BQ9" si="8">+IF(AZ2&gt;=21,100,IF(AND(AZ2&gt;=14,AZ2&lt;21),75,IF(AND(AZ2&gt;=7,AZ2&lt;14),50,IF(AZ2&lt;7,30,"-"))))</f>
        <v>100</v>
      </c>
      <c r="BR2">
        <f t="shared" ref="BR2:BR9" si="9">+IF(AZ2&gt;=21,130,IF(AND(AZ2&gt;=14,AZ2&lt;21),100,IF(AND(AZ2&gt;=7,AZ2&lt;14),90,IF(AZ2&lt;7,60,"-"))))</f>
        <v>130</v>
      </c>
      <c r="BS2">
        <f t="shared" ref="BS2:BS9" si="10">IF(BO2="-","-",IF(OR(BO2&lt;BQ2,BO2&gt;BR2),1,0))</f>
        <v>1</v>
      </c>
      <c r="BT2">
        <f t="shared" ref="BT2:BT9" si="11">IF(BE2="-","-",IF(OR(BE2&lt;BO2-5,BE2&gt;BO2+5),1,0))</f>
        <v>1</v>
      </c>
      <c r="BU2">
        <f t="shared" ref="BU2:BU9" si="12">IF(BI2="-","-",IF(OR(BI2&lt;BO2-5,BI2&gt;BO2+5),1,0))</f>
        <v>1</v>
      </c>
      <c r="BV2">
        <f t="shared" ref="BV2:BV9" si="13">IF(BM2="-","-",IF(OR(BM2&lt;BO2-5,BM2&gt;BO2+5),1,0))</f>
        <v>0</v>
      </c>
      <c r="BW2">
        <f t="shared" ref="BW2:BW9" si="14">IF(BB2="-","-",IF(OR(BB2&lt;1900,BB2&gt;2400),1,0))</f>
        <v>0</v>
      </c>
      <c r="BX2">
        <f t="shared" ref="BX2:BX9" si="15">IF(BF2="-","-",IF(OR(BF2&lt;1900,BF2&gt;2400),1,0))</f>
        <v>0</v>
      </c>
      <c r="BY2">
        <f t="shared" ref="BY2:BY9" si="16">IF(BJ2="-","-",IF(OR(BJ2&lt;1900,BJ2&gt;2400),1,0))</f>
        <v>0</v>
      </c>
    </row>
    <row r="3" spans="1:77" ht="14.25" customHeight="1">
      <c r="A3" s="182" t="s">
        <v>352</v>
      </c>
      <c r="B3" s="183" t="s">
        <v>353</v>
      </c>
      <c r="C3" s="184">
        <v>46111</v>
      </c>
      <c r="D3" s="183" t="s">
        <v>80</v>
      </c>
      <c r="E3" s="183" t="s">
        <v>354</v>
      </c>
      <c r="F3" s="183" t="s">
        <v>355</v>
      </c>
      <c r="G3" s="183">
        <v>34.47</v>
      </c>
      <c r="H3" s="183" t="s">
        <v>186</v>
      </c>
      <c r="I3" s="184">
        <v>46105</v>
      </c>
      <c r="J3" s="184">
        <v>46112</v>
      </c>
      <c r="K3" s="183"/>
      <c r="L3" s="183" t="s">
        <v>172</v>
      </c>
      <c r="M3" s="183" t="s">
        <v>86</v>
      </c>
      <c r="N3" s="183" t="s">
        <v>86</v>
      </c>
      <c r="O3" s="183" t="s">
        <v>87</v>
      </c>
      <c r="P3" s="183" t="s">
        <v>181</v>
      </c>
      <c r="Q3" s="183" t="s">
        <v>183</v>
      </c>
      <c r="R3" s="183" t="s">
        <v>312</v>
      </c>
      <c r="S3" s="183" t="s">
        <v>86</v>
      </c>
      <c r="T3" s="183" t="s">
        <v>86</v>
      </c>
      <c r="U3" s="183" t="s">
        <v>87</v>
      </c>
      <c r="V3" s="183" t="s">
        <v>91</v>
      </c>
      <c r="W3" s="183" t="s">
        <v>92</v>
      </c>
      <c r="X3" s="183" t="s">
        <v>313</v>
      </c>
      <c r="Y3" s="183" t="s">
        <v>320</v>
      </c>
      <c r="Z3" s="183" t="s">
        <v>315</v>
      </c>
      <c r="AA3" s="183" t="s">
        <v>315</v>
      </c>
      <c r="AB3" s="183" t="s">
        <v>315</v>
      </c>
      <c r="AC3" s="183" t="s">
        <v>356</v>
      </c>
      <c r="AD3" s="183" t="s">
        <v>357</v>
      </c>
      <c r="AE3" s="183" t="s">
        <v>158</v>
      </c>
      <c r="AF3" s="183" t="s">
        <v>320</v>
      </c>
      <c r="AG3" s="183" t="s">
        <v>313</v>
      </c>
      <c r="AH3" s="183" t="s">
        <v>315</v>
      </c>
      <c r="AI3" s="183" t="s">
        <v>314</v>
      </c>
      <c r="AJ3" s="183" t="s">
        <v>315</v>
      </c>
      <c r="AK3" s="183" t="s">
        <v>358</v>
      </c>
      <c r="AL3" s="183" t="s">
        <v>359</v>
      </c>
      <c r="AM3" s="183" t="s">
        <v>142</v>
      </c>
      <c r="AN3" s="183" t="s">
        <v>313</v>
      </c>
      <c r="AO3" s="183" t="s">
        <v>313</v>
      </c>
      <c r="AP3" s="183" t="s">
        <v>315</v>
      </c>
      <c r="AQ3" s="183" t="s">
        <v>314</v>
      </c>
      <c r="AR3" s="183" t="s">
        <v>315</v>
      </c>
      <c r="AS3" s="183" t="s">
        <v>360</v>
      </c>
      <c r="AT3" s="183" t="s">
        <v>361</v>
      </c>
      <c r="AU3" s="183" t="s">
        <v>158</v>
      </c>
      <c r="AV3" s="183" t="s">
        <v>169</v>
      </c>
      <c r="AW3" s="183" t="s">
        <v>94</v>
      </c>
      <c r="AX3" s="185" t="s">
        <v>95</v>
      </c>
      <c r="AY3" s="10"/>
      <c r="AZ3" s="11">
        <f t="shared" si="0"/>
        <v>7</v>
      </c>
      <c r="BA3" s="10"/>
      <c r="BB3" s="12">
        <f t="array" ref="BB3">IF(AC3=0,"-",(AC3/(((PI()*BC3*BC3)/4)*AVERAGE(_xlfn.NUMBERVALUE(Z3:AB3))))*1000000)</f>
        <v>2.3907317111856003</v>
      </c>
      <c r="BC3" s="13">
        <f t="array" ref="BC3">IF(X3=0,"-",AVERAGE(_xlfn.NUMBERVALUE(X3:Y3)))</f>
        <v>100.5</v>
      </c>
      <c r="BD3" s="14">
        <f t="shared" si="1"/>
        <v>38.801329855150428</v>
      </c>
      <c r="BE3" s="14">
        <f t="shared" si="2"/>
        <v>112.56550581708858</v>
      </c>
      <c r="BF3" s="12">
        <f t="array" ref="BF3">IF(AK3=0,"-",(AK3/(((PI()*BG3*BG3)/4)*AVERAGE(_xlfn.NUMBERVALUE(AH3:AJ3))))*1000000)</f>
        <v>2.3093557613269966</v>
      </c>
      <c r="BG3" s="13">
        <f t="array" ref="BG3">IF(AF3=0,"-",AVERAGE(_xlfn.NUMBERVALUE(AF3:AG3)))</f>
        <v>100.5</v>
      </c>
      <c r="BH3" s="14">
        <f t="shared" si="3"/>
        <v>38.284483031218926</v>
      </c>
      <c r="BI3" s="14">
        <f t="shared" si="4"/>
        <v>111.06609524577581</v>
      </c>
      <c r="BJ3" s="12">
        <f t="array" ref="BJ3">IF(AS3=0,"-",(AS3/(((PI()*BK3*BK3)/4)*AVERAGE(_xlfn.NUMBERVALUE(AP3:AR3))))*1000000)</f>
        <v>2.3401337788926138</v>
      </c>
      <c r="BK3" s="13">
        <f t="array" ref="BK3">IF(AN3=0,"-",AVERAGE(_xlfn.NUMBERVALUE(AN3:AO3)))</f>
        <v>100</v>
      </c>
      <c r="BL3" s="14">
        <f t="shared" si="5"/>
        <v>40.030651286473514</v>
      </c>
      <c r="BM3" s="14">
        <f t="shared" si="6"/>
        <v>116.13185751805489</v>
      </c>
      <c r="BN3" s="14">
        <f t="shared" si="7"/>
        <v>39.038821390947625</v>
      </c>
      <c r="BO3" s="14">
        <f t="shared" si="7"/>
        <v>113.25448619363976</v>
      </c>
      <c r="BQ3">
        <f t="shared" si="8"/>
        <v>50</v>
      </c>
      <c r="BR3">
        <f t="shared" si="9"/>
        <v>90</v>
      </c>
      <c r="BS3">
        <f t="shared" si="10"/>
        <v>1</v>
      </c>
      <c r="BT3">
        <f t="shared" si="11"/>
        <v>0</v>
      </c>
      <c r="BU3">
        <f t="shared" si="12"/>
        <v>0</v>
      </c>
      <c r="BV3">
        <f t="shared" si="13"/>
        <v>0</v>
      </c>
      <c r="BW3">
        <f t="shared" si="14"/>
        <v>1</v>
      </c>
      <c r="BX3">
        <f t="shared" si="15"/>
        <v>1</v>
      </c>
      <c r="BY3">
        <f t="shared" si="16"/>
        <v>1</v>
      </c>
    </row>
    <row r="4" spans="1:77" ht="14.25" customHeight="1">
      <c r="A4" s="178" t="s">
        <v>362</v>
      </c>
      <c r="B4" s="179" t="s">
        <v>363</v>
      </c>
      <c r="C4" s="180">
        <v>46111</v>
      </c>
      <c r="D4" s="179" t="s">
        <v>80</v>
      </c>
      <c r="E4" s="179" t="s">
        <v>364</v>
      </c>
      <c r="F4" s="179" t="s">
        <v>194</v>
      </c>
      <c r="G4" s="179">
        <v>34.47</v>
      </c>
      <c r="H4" s="179" t="s">
        <v>186</v>
      </c>
      <c r="I4" s="180">
        <v>46105</v>
      </c>
      <c r="J4" s="180">
        <v>46112</v>
      </c>
      <c r="K4" s="179"/>
      <c r="L4" s="179" t="s">
        <v>172</v>
      </c>
      <c r="M4" s="179" t="s">
        <v>86</v>
      </c>
      <c r="N4" s="179" t="s">
        <v>86</v>
      </c>
      <c r="O4" s="179" t="s">
        <v>87</v>
      </c>
      <c r="P4" s="179" t="s">
        <v>181</v>
      </c>
      <c r="Q4" s="179" t="s">
        <v>183</v>
      </c>
      <c r="R4" s="179" t="s">
        <v>312</v>
      </c>
      <c r="S4" s="179" t="s">
        <v>86</v>
      </c>
      <c r="T4" s="179" t="s">
        <v>86</v>
      </c>
      <c r="U4" s="179" t="s">
        <v>87</v>
      </c>
      <c r="V4" s="179" t="s">
        <v>91</v>
      </c>
      <c r="W4" s="179" t="s">
        <v>92</v>
      </c>
      <c r="X4" s="179" t="s">
        <v>313</v>
      </c>
      <c r="Y4" s="179" t="s">
        <v>320</v>
      </c>
      <c r="Z4" s="179" t="s">
        <v>315</v>
      </c>
      <c r="AA4" s="179" t="s">
        <v>314</v>
      </c>
      <c r="AB4" s="179" t="s">
        <v>314</v>
      </c>
      <c r="AC4" s="179" t="s">
        <v>365</v>
      </c>
      <c r="AD4" s="179" t="s">
        <v>366</v>
      </c>
      <c r="AE4" s="179" t="s">
        <v>142</v>
      </c>
      <c r="AF4" s="179" t="s">
        <v>313</v>
      </c>
      <c r="AG4" s="179" t="s">
        <v>313</v>
      </c>
      <c r="AH4" s="179" t="s">
        <v>314</v>
      </c>
      <c r="AI4" s="179" t="s">
        <v>315</v>
      </c>
      <c r="AJ4" s="179" t="s">
        <v>315</v>
      </c>
      <c r="AK4" s="179" t="s">
        <v>367</v>
      </c>
      <c r="AL4" s="179" t="s">
        <v>368</v>
      </c>
      <c r="AM4" s="179" t="s">
        <v>142</v>
      </c>
      <c r="AN4" s="179" t="s">
        <v>320</v>
      </c>
      <c r="AO4" s="179" t="s">
        <v>320</v>
      </c>
      <c r="AP4" s="179" t="s">
        <v>315</v>
      </c>
      <c r="AQ4" s="179" t="s">
        <v>315</v>
      </c>
      <c r="AR4" s="179" t="s">
        <v>315</v>
      </c>
      <c r="AS4" s="179" t="s">
        <v>365</v>
      </c>
      <c r="AT4" s="179" t="s">
        <v>369</v>
      </c>
      <c r="AU4" s="179" t="s">
        <v>142</v>
      </c>
      <c r="AV4" s="179" t="s">
        <v>169</v>
      </c>
      <c r="AW4" s="179" t="s">
        <v>94</v>
      </c>
      <c r="AX4" s="181" t="s">
        <v>95</v>
      </c>
      <c r="AY4" s="10"/>
      <c r="AZ4" s="11">
        <f t="shared" si="0"/>
        <v>7</v>
      </c>
      <c r="BA4" s="10"/>
      <c r="BB4" s="12">
        <f t="array" ref="BB4">IF(AC4=0,"-",(AC4/(((PI()*BC4*BC4)/4)*AVERAGE(_xlfn.NUMBERVALUE(Z4:AB4))))*1000000)</f>
        <v>2.3727377692115166</v>
      </c>
      <c r="BC4" s="13">
        <f t="array" ref="BC4">IF(X4=0,"-",AVERAGE(_xlfn.NUMBERVALUE(X4:Y4)))</f>
        <v>100.5</v>
      </c>
      <c r="BD4" s="14">
        <f t="shared" si="1"/>
        <v>40.956959291547669</v>
      </c>
      <c r="BE4" s="14">
        <f t="shared" si="2"/>
        <v>118.81914502914903</v>
      </c>
      <c r="BF4" s="12">
        <f t="array" ref="BF4">IF(AK4=0,"-",(AK4/(((PI()*BG4*BG4)/4)*AVERAGE(_xlfn.NUMBERVALUE(AH4:AJ4))))*1000000)</f>
        <v>2.3998764663494043</v>
      </c>
      <c r="BG4" s="13">
        <f t="array" ref="BG4">IF(AF4=0,"-",AVERAGE(_xlfn.NUMBERVALUE(AF4:AG4)))</f>
        <v>100</v>
      </c>
      <c r="BH4" s="14">
        <f t="shared" si="3"/>
        <v>38.184453946607526</v>
      </c>
      <c r="BI4" s="14">
        <f t="shared" si="4"/>
        <v>110.77590352946774</v>
      </c>
      <c r="BJ4" s="12">
        <f t="array" ref="BJ4">IF(AS4=0,"-",(AS4/(((PI()*BK4*BK4)/4)*AVERAGE(_xlfn.NUMBERVALUE(AP4:AR4))))*1000000)</f>
        <v>2.3571344772398342</v>
      </c>
      <c r="BK4" s="13">
        <f t="array" ref="BK4">IF(AN4=0,"-",AVERAGE(_xlfn.NUMBERVALUE(AN4:AO4)))</f>
        <v>101</v>
      </c>
      <c r="BL4" s="14">
        <f t="shared" si="5"/>
        <v>42.175045796099546</v>
      </c>
      <c r="BM4" s="14">
        <f t="shared" si="6"/>
        <v>122.35290338294038</v>
      </c>
      <c r="BN4" s="14">
        <f t="shared" si="7"/>
        <v>40.438819678084911</v>
      </c>
      <c r="BO4" s="14">
        <f t="shared" si="7"/>
        <v>117.31598398051905</v>
      </c>
      <c r="BQ4">
        <f t="shared" si="8"/>
        <v>50</v>
      </c>
      <c r="BR4">
        <f t="shared" si="9"/>
        <v>90</v>
      </c>
      <c r="BS4">
        <f t="shared" si="10"/>
        <v>1</v>
      </c>
      <c r="BT4">
        <f t="shared" si="11"/>
        <v>0</v>
      </c>
      <c r="BU4">
        <f t="shared" si="12"/>
        <v>1</v>
      </c>
      <c r="BV4">
        <f t="shared" si="13"/>
        <v>1</v>
      </c>
      <c r="BW4">
        <f t="shared" si="14"/>
        <v>1</v>
      </c>
      <c r="BX4">
        <f t="shared" si="15"/>
        <v>1</v>
      </c>
      <c r="BY4">
        <f t="shared" si="16"/>
        <v>1</v>
      </c>
    </row>
    <row r="5" spans="1:77">
      <c r="A5" s="182" t="s">
        <v>309</v>
      </c>
      <c r="B5" s="183" t="s">
        <v>310</v>
      </c>
      <c r="C5" s="186">
        <v>46111</v>
      </c>
      <c r="D5" s="183" t="s">
        <v>80</v>
      </c>
      <c r="E5" s="183" t="s">
        <v>311</v>
      </c>
      <c r="F5" s="183" t="s">
        <v>194</v>
      </c>
      <c r="G5" s="183">
        <v>34.47</v>
      </c>
      <c r="H5" s="183" t="s">
        <v>186</v>
      </c>
      <c r="I5" s="186">
        <v>46105</v>
      </c>
      <c r="J5" s="186">
        <v>46111</v>
      </c>
      <c r="K5" s="183"/>
      <c r="L5" s="183" t="s">
        <v>172</v>
      </c>
      <c r="M5" s="183" t="s">
        <v>86</v>
      </c>
      <c r="N5" s="183" t="s">
        <v>86</v>
      </c>
      <c r="O5" s="183" t="s">
        <v>87</v>
      </c>
      <c r="P5" s="183" t="s">
        <v>181</v>
      </c>
      <c r="Q5" s="183" t="s">
        <v>183</v>
      </c>
      <c r="R5" s="183" t="s">
        <v>312</v>
      </c>
      <c r="S5" s="183" t="s">
        <v>86</v>
      </c>
      <c r="T5" s="183" t="s">
        <v>86</v>
      </c>
      <c r="U5" s="183" t="s">
        <v>87</v>
      </c>
      <c r="V5" s="183" t="s">
        <v>91</v>
      </c>
      <c r="W5" s="183" t="s">
        <v>92</v>
      </c>
      <c r="X5" s="183" t="s">
        <v>313</v>
      </c>
      <c r="Y5" s="183" t="s">
        <v>313</v>
      </c>
      <c r="Z5" s="183" t="s">
        <v>314</v>
      </c>
      <c r="AA5" s="183" t="s">
        <v>314</v>
      </c>
      <c r="AB5" s="183" t="s">
        <v>315</v>
      </c>
      <c r="AC5" s="183" t="s">
        <v>316</v>
      </c>
      <c r="AD5" s="183" t="s">
        <v>317</v>
      </c>
      <c r="AE5" s="183" t="s">
        <v>318</v>
      </c>
      <c r="AF5" s="183" t="s">
        <v>313</v>
      </c>
      <c r="AG5" s="183" t="s">
        <v>313</v>
      </c>
      <c r="AH5" s="183" t="s">
        <v>315</v>
      </c>
      <c r="AI5" s="183" t="s">
        <v>315</v>
      </c>
      <c r="AJ5" s="183" t="s">
        <v>314</v>
      </c>
      <c r="AK5" s="183" t="s">
        <v>319</v>
      </c>
      <c r="AL5" s="183" t="s">
        <v>141</v>
      </c>
      <c r="AM5" s="183" t="s">
        <v>142</v>
      </c>
      <c r="AN5" s="183" t="s">
        <v>313</v>
      </c>
      <c r="AO5" s="183" t="s">
        <v>320</v>
      </c>
      <c r="AP5" s="183" t="s">
        <v>315</v>
      </c>
      <c r="AQ5" s="183" t="s">
        <v>314</v>
      </c>
      <c r="AR5" s="183" t="s">
        <v>314</v>
      </c>
      <c r="AS5" s="183" t="s">
        <v>143</v>
      </c>
      <c r="AT5" s="183" t="s">
        <v>321</v>
      </c>
      <c r="AU5" s="183" t="s">
        <v>318</v>
      </c>
      <c r="AV5" s="183" t="s">
        <v>169</v>
      </c>
      <c r="AW5" s="183" t="s">
        <v>94</v>
      </c>
      <c r="AX5" s="185" t="s">
        <v>95</v>
      </c>
      <c r="AY5" s="10"/>
      <c r="AZ5" s="11">
        <f t="shared" si="0"/>
        <v>6</v>
      </c>
      <c r="BA5" s="10"/>
      <c r="BB5" s="12">
        <f t="array" ref="BB5">IF(AC5=0,"-",(AC5/(((PI()*BC5*BC5)/4)*AVERAGE(_xlfn.NUMBERVALUE(Z5:AB5))))*1000000)</f>
        <v>2354.012646661522</v>
      </c>
      <c r="BC5" s="13">
        <f t="array" ref="BC5">IF(X5=0,"-",AVERAGE(_xlfn.NUMBERVALUE(X5:Y5)))</f>
        <v>100</v>
      </c>
      <c r="BD5" s="14">
        <f t="shared" si="1"/>
        <v>53.845300346850031</v>
      </c>
      <c r="BE5" s="14">
        <f t="shared" si="2"/>
        <v>156.20916839817244</v>
      </c>
      <c r="BF5" s="12">
        <f t="array" ref="BF5">IF(AK5=0,"-",(AK5/(((PI()*BG5*BG5)/4)*AVERAGE(_xlfn.NUMBERVALUE(AH5:AJ5))))*1000000)</f>
        <v>2456.4413512818987</v>
      </c>
      <c r="BG5" s="13">
        <f t="array" ref="BG5">IF(AF5=0,"-",AVERAGE(_xlfn.NUMBERVALUE(AF5:AG5)))</f>
        <v>100</v>
      </c>
      <c r="BH5" s="14">
        <f t="shared" si="3"/>
        <v>37.293186265292917</v>
      </c>
      <c r="BI5" s="14">
        <f t="shared" si="4"/>
        <v>108.19027056946015</v>
      </c>
      <c r="BJ5" s="12">
        <f t="array" ref="BJ5">IF(AS5=0,"-",(AS5/(((PI()*BK5*BK5)/4)*AVERAGE(_xlfn.NUMBERVALUE(AP5:AR5))))*1000000)</f>
        <v>2298.6093453918293</v>
      </c>
      <c r="BK5" s="13">
        <f t="array" ref="BK5">IF(AN5=0,"-",AVERAGE(_xlfn.NUMBERVALUE(AN5:AO5)))</f>
        <v>100.5</v>
      </c>
      <c r="BL5" s="14">
        <f t="shared" si="5"/>
        <v>48.659237570136661</v>
      </c>
      <c r="BM5" s="14">
        <f t="shared" si="6"/>
        <v>141.16401964066335</v>
      </c>
      <c r="BN5" s="14">
        <f t="shared" si="7"/>
        <v>46.599241394093205</v>
      </c>
      <c r="BO5" s="14">
        <f t="shared" si="7"/>
        <v>135.18781953609866</v>
      </c>
      <c r="BQ5">
        <f t="shared" si="8"/>
        <v>30</v>
      </c>
      <c r="BR5">
        <f t="shared" si="9"/>
        <v>60</v>
      </c>
      <c r="BS5">
        <f t="shared" si="10"/>
        <v>1</v>
      </c>
      <c r="BT5">
        <f t="shared" si="11"/>
        <v>1</v>
      </c>
      <c r="BU5">
        <f t="shared" si="12"/>
        <v>1</v>
      </c>
      <c r="BV5">
        <f t="shared" si="13"/>
        <v>1</v>
      </c>
      <c r="BW5">
        <f t="shared" si="14"/>
        <v>0</v>
      </c>
      <c r="BX5">
        <f t="shared" si="15"/>
        <v>1</v>
      </c>
      <c r="BY5">
        <f t="shared" si="16"/>
        <v>0</v>
      </c>
    </row>
    <row r="6" spans="1:77">
      <c r="A6" s="178" t="s">
        <v>370</v>
      </c>
      <c r="B6" s="179" t="s">
        <v>310</v>
      </c>
      <c r="C6" s="187">
        <v>46111</v>
      </c>
      <c r="D6" s="179" t="s">
        <v>80</v>
      </c>
      <c r="E6" s="179" t="s">
        <v>311</v>
      </c>
      <c r="F6" s="179" t="s">
        <v>194</v>
      </c>
      <c r="G6" s="179">
        <v>34.47</v>
      </c>
      <c r="H6" s="179" t="s">
        <v>186</v>
      </c>
      <c r="I6" s="187">
        <v>46105</v>
      </c>
      <c r="J6" s="187">
        <v>46112</v>
      </c>
      <c r="K6" s="179"/>
      <c r="L6" s="179" t="s">
        <v>172</v>
      </c>
      <c r="M6" s="179" t="s">
        <v>86</v>
      </c>
      <c r="N6" s="179" t="s">
        <v>86</v>
      </c>
      <c r="O6" s="179" t="s">
        <v>87</v>
      </c>
      <c r="P6" s="179" t="s">
        <v>181</v>
      </c>
      <c r="Q6" s="179" t="s">
        <v>183</v>
      </c>
      <c r="R6" s="179" t="s">
        <v>312</v>
      </c>
      <c r="S6" s="179" t="s">
        <v>86</v>
      </c>
      <c r="T6" s="179" t="s">
        <v>86</v>
      </c>
      <c r="U6" s="179" t="s">
        <v>87</v>
      </c>
      <c r="V6" s="179" t="s">
        <v>91</v>
      </c>
      <c r="W6" s="179" t="s">
        <v>92</v>
      </c>
      <c r="X6" s="179" t="s">
        <v>313</v>
      </c>
      <c r="Y6" s="179" t="s">
        <v>320</v>
      </c>
      <c r="Z6" s="179" t="s">
        <v>315</v>
      </c>
      <c r="AA6" s="179" t="s">
        <v>315</v>
      </c>
      <c r="AB6" s="179" t="s">
        <v>314</v>
      </c>
      <c r="AC6" s="179" t="s">
        <v>371</v>
      </c>
      <c r="AD6" s="179" t="s">
        <v>372</v>
      </c>
      <c r="AE6" s="179" t="s">
        <v>318</v>
      </c>
      <c r="AF6" s="179" t="s">
        <v>313</v>
      </c>
      <c r="AG6" s="179" t="s">
        <v>320</v>
      </c>
      <c r="AH6" s="179" t="s">
        <v>315</v>
      </c>
      <c r="AI6" s="179" t="s">
        <v>315</v>
      </c>
      <c r="AJ6" s="179" t="s">
        <v>314</v>
      </c>
      <c r="AK6" s="179" t="s">
        <v>373</v>
      </c>
      <c r="AL6" s="179" t="s">
        <v>374</v>
      </c>
      <c r="AM6" s="179" t="s">
        <v>142</v>
      </c>
      <c r="AN6" s="179" t="s">
        <v>313</v>
      </c>
      <c r="AO6" s="179" t="s">
        <v>313</v>
      </c>
      <c r="AP6" s="179" t="s">
        <v>314</v>
      </c>
      <c r="AQ6" s="179" t="s">
        <v>314</v>
      </c>
      <c r="AR6" s="179" t="s">
        <v>314</v>
      </c>
      <c r="AS6" s="179" t="s">
        <v>375</v>
      </c>
      <c r="AT6" s="179" t="s">
        <v>376</v>
      </c>
      <c r="AU6" s="179" t="s">
        <v>318</v>
      </c>
      <c r="AV6" s="179" t="s">
        <v>169</v>
      </c>
      <c r="AW6" s="179" t="s">
        <v>94</v>
      </c>
      <c r="AX6" s="181" t="s">
        <v>95</v>
      </c>
      <c r="AY6" s="10"/>
      <c r="AZ6" s="11">
        <f t="shared" si="0"/>
        <v>7</v>
      </c>
      <c r="BA6" s="10"/>
      <c r="BB6" s="12">
        <f t="array" ref="BB6">IF(AC6=0,"-",(AC6/(((PI()*BC6*BC6)/4)*AVERAGE(_xlfn.NUMBERVALUE(Z6:AB6))))*1000000)</f>
        <v>2501.9069501460867</v>
      </c>
      <c r="BC6" s="13">
        <f t="array" ref="BC6">IF(X6=0,"-",AVERAGE(_xlfn.NUMBERVALUE(X6:Y6)))</f>
        <v>100.5</v>
      </c>
      <c r="BD6" s="14">
        <f t="shared" si="1"/>
        <v>55.22697404009552</v>
      </c>
      <c r="BE6" s="14">
        <f t="shared" si="2"/>
        <v>160.21750519319852</v>
      </c>
      <c r="BF6" s="12">
        <f t="array" ref="BF6">IF(AK6=0,"-",(AK6/(((PI()*BG6*BG6)/4)*AVERAGE(_xlfn.NUMBERVALUE(AH6:AJ6))))*1000000)</f>
        <v>2447.1620043053654</v>
      </c>
      <c r="BG6" s="13">
        <f t="array" ref="BG6">IF(AF6=0,"-",AVERAGE(_xlfn.NUMBERVALUE(AF6:AG6)))</f>
        <v>100.5</v>
      </c>
      <c r="BH6" s="14">
        <f t="shared" si="3"/>
        <v>49.125660313684605</v>
      </c>
      <c r="BI6" s="14">
        <f t="shared" si="4"/>
        <v>142.51714625379927</v>
      </c>
      <c r="BJ6" s="12">
        <f t="array" ref="BJ6">IF(AS6=0,"-",(AS6/(((PI()*BK6*BK6)/4)*AVERAGE(_xlfn.NUMBERVALUE(AP6:AR6))))*1000000)</f>
        <v>2360.2440515836897</v>
      </c>
      <c r="BK6" s="13">
        <f t="array" ref="BK6">IF(AN6=0,"-",AVERAGE(_xlfn.NUMBERVALUE(AN6:AO6)))</f>
        <v>100</v>
      </c>
      <c r="BL6" s="14">
        <f t="shared" si="5"/>
        <v>50.522145135091257</v>
      </c>
      <c r="BM6" s="14">
        <f t="shared" si="6"/>
        <v>146.56845121871558</v>
      </c>
      <c r="BN6" s="14">
        <f t="shared" si="7"/>
        <v>51.624926496290463</v>
      </c>
      <c r="BO6" s="14">
        <f t="shared" si="7"/>
        <v>149.76770088857111</v>
      </c>
      <c r="BQ6">
        <f t="shared" si="8"/>
        <v>50</v>
      </c>
      <c r="BR6">
        <f t="shared" si="9"/>
        <v>90</v>
      </c>
      <c r="BS6">
        <f t="shared" si="10"/>
        <v>1</v>
      </c>
      <c r="BT6">
        <f t="shared" si="11"/>
        <v>1</v>
      </c>
      <c r="BU6">
        <f t="shared" si="12"/>
        <v>1</v>
      </c>
      <c r="BV6">
        <f t="shared" si="13"/>
        <v>0</v>
      </c>
      <c r="BW6">
        <f t="shared" si="14"/>
        <v>1</v>
      </c>
      <c r="BX6">
        <f t="shared" si="15"/>
        <v>1</v>
      </c>
      <c r="BY6">
        <f t="shared" si="16"/>
        <v>0</v>
      </c>
    </row>
    <row r="7" spans="1:77">
      <c r="A7" s="182" t="s">
        <v>377</v>
      </c>
      <c r="B7" s="183" t="s">
        <v>378</v>
      </c>
      <c r="C7" s="186">
        <v>46111</v>
      </c>
      <c r="D7" s="183" t="s">
        <v>80</v>
      </c>
      <c r="E7" s="183" t="s">
        <v>379</v>
      </c>
      <c r="F7" s="183" t="s">
        <v>194</v>
      </c>
      <c r="G7" s="183">
        <v>34.47</v>
      </c>
      <c r="H7" s="183" t="s">
        <v>186</v>
      </c>
      <c r="I7" s="186">
        <v>46105</v>
      </c>
      <c r="J7" s="186">
        <v>46112</v>
      </c>
      <c r="K7" s="183"/>
      <c r="L7" s="183" t="s">
        <v>172</v>
      </c>
      <c r="M7" s="183" t="s">
        <v>86</v>
      </c>
      <c r="N7" s="183" t="s">
        <v>86</v>
      </c>
      <c r="O7" s="183" t="s">
        <v>87</v>
      </c>
      <c r="P7" s="183" t="s">
        <v>181</v>
      </c>
      <c r="Q7" s="183" t="s">
        <v>183</v>
      </c>
      <c r="R7" s="183" t="s">
        <v>312</v>
      </c>
      <c r="S7" s="183" t="s">
        <v>86</v>
      </c>
      <c r="T7" s="183" t="s">
        <v>86</v>
      </c>
      <c r="U7" s="183" t="s">
        <v>87</v>
      </c>
      <c r="V7" s="183" t="s">
        <v>91</v>
      </c>
      <c r="W7" s="183" t="s">
        <v>92</v>
      </c>
      <c r="X7" s="183" t="s">
        <v>320</v>
      </c>
      <c r="Y7" s="183" t="s">
        <v>313</v>
      </c>
      <c r="Z7" s="183" t="s">
        <v>315</v>
      </c>
      <c r="AA7" s="183" t="s">
        <v>315</v>
      </c>
      <c r="AB7" s="183" t="s">
        <v>314</v>
      </c>
      <c r="AC7" s="183" t="s">
        <v>380</v>
      </c>
      <c r="AD7" s="183" t="s">
        <v>381</v>
      </c>
      <c r="AE7" s="183" t="s">
        <v>318</v>
      </c>
      <c r="AF7" s="183" t="s">
        <v>313</v>
      </c>
      <c r="AG7" s="183" t="s">
        <v>313</v>
      </c>
      <c r="AH7" s="183" t="s">
        <v>314</v>
      </c>
      <c r="AI7" s="183" t="s">
        <v>315</v>
      </c>
      <c r="AJ7" s="183" t="s">
        <v>315</v>
      </c>
      <c r="AK7" s="183" t="s">
        <v>382</v>
      </c>
      <c r="AL7" s="183" t="s">
        <v>383</v>
      </c>
      <c r="AM7" s="183" t="s">
        <v>158</v>
      </c>
      <c r="AN7" s="183" t="s">
        <v>320</v>
      </c>
      <c r="AO7" s="183" t="s">
        <v>320</v>
      </c>
      <c r="AP7" s="183" t="s">
        <v>315</v>
      </c>
      <c r="AQ7" s="183" t="s">
        <v>314</v>
      </c>
      <c r="AR7" s="183" t="s">
        <v>314</v>
      </c>
      <c r="AS7" s="183" t="s">
        <v>384</v>
      </c>
      <c r="AT7" s="183" t="s">
        <v>385</v>
      </c>
      <c r="AU7" s="183" t="s">
        <v>142</v>
      </c>
      <c r="AV7" s="183" t="s">
        <v>169</v>
      </c>
      <c r="AW7" s="183" t="s">
        <v>94</v>
      </c>
      <c r="AX7" s="185" t="s">
        <v>95</v>
      </c>
      <c r="AY7" s="10"/>
      <c r="AZ7" s="11">
        <f t="shared" si="0"/>
        <v>7</v>
      </c>
      <c r="BA7" s="10"/>
      <c r="BB7" s="12">
        <f t="array" ref="BB7">IF(AC7=0,"-",(AC7/(((PI()*BC7*BC7)/4)*AVERAGE(_xlfn.NUMBERVALUE(Z7:AB7))))*1000000)</f>
        <v>2341.4476261301779</v>
      </c>
      <c r="BC7" s="13">
        <f t="array" ref="BC7">IF(X7=0,"-",AVERAGE(_xlfn.NUMBERVALUE(X7:Y7)))</f>
        <v>100.5</v>
      </c>
      <c r="BD7" s="14">
        <f t="shared" si="1"/>
        <v>43.541193411205192</v>
      </c>
      <c r="BE7" s="14">
        <f t="shared" si="2"/>
        <v>126.31619788571278</v>
      </c>
      <c r="BF7" s="12">
        <f t="array" ref="BF7">IF(AK7=0,"-",(AK7/(((PI()*BG7*BG7)/4)*AVERAGE(_xlfn.NUMBERVALUE(AH7:AJ7))))*1000000)</f>
        <v>2464.0680773402128</v>
      </c>
      <c r="BG7" s="13">
        <f t="array" ref="BG7">IF(AF7=0,"-",AVERAGE(_xlfn.NUMBERVALUE(AF7:AG7)))</f>
        <v>100</v>
      </c>
      <c r="BH7" s="14">
        <f t="shared" si="3"/>
        <v>43.073693798390558</v>
      </c>
      <c r="BI7" s="14">
        <f t="shared" si="4"/>
        <v>124.95994719579507</v>
      </c>
      <c r="BJ7" s="12">
        <f t="array" ref="BJ7">IF(AS7=0,"-",(AS7/(((PI()*BK7*BK7)/4)*AVERAGE(_xlfn.NUMBERVALUE(AP7:AR7))))*1000000)</f>
        <v>2398.4416636725346</v>
      </c>
      <c r="BK7" s="13">
        <f t="array" ref="BK7">IF(AN7=0,"-",AVERAGE(_xlfn.NUMBERVALUE(AN7:AO7)))</f>
        <v>101</v>
      </c>
      <c r="BL7" s="14">
        <f t="shared" si="5"/>
        <v>42.661824957404043</v>
      </c>
      <c r="BM7" s="14">
        <f t="shared" si="6"/>
        <v>123.76508545809122</v>
      </c>
      <c r="BN7" s="14">
        <f t="shared" si="7"/>
        <v>43.092237388999934</v>
      </c>
      <c r="BO7" s="14">
        <f t="shared" si="7"/>
        <v>125.01374351319969</v>
      </c>
      <c r="BQ7">
        <f t="shared" si="8"/>
        <v>50</v>
      </c>
      <c r="BR7">
        <f t="shared" si="9"/>
        <v>90</v>
      </c>
      <c r="BS7">
        <f t="shared" si="10"/>
        <v>1</v>
      </c>
      <c r="BT7">
        <f t="shared" si="11"/>
        <v>0</v>
      </c>
      <c r="BU7">
        <f t="shared" si="12"/>
        <v>0</v>
      </c>
      <c r="BV7">
        <f t="shared" si="13"/>
        <v>0</v>
      </c>
      <c r="BW7">
        <f t="shared" si="14"/>
        <v>0</v>
      </c>
      <c r="BX7">
        <f t="shared" si="15"/>
        <v>1</v>
      </c>
      <c r="BY7">
        <f t="shared" si="16"/>
        <v>0</v>
      </c>
    </row>
    <row r="8" spans="1:77">
      <c r="A8" s="178" t="s">
        <v>322</v>
      </c>
      <c r="B8" s="179" t="s">
        <v>323</v>
      </c>
      <c r="C8" s="187">
        <v>46112</v>
      </c>
      <c r="D8" s="179" t="s">
        <v>80</v>
      </c>
      <c r="E8" s="179" t="s">
        <v>324</v>
      </c>
      <c r="F8" s="179" t="s">
        <v>194</v>
      </c>
      <c r="G8" s="179">
        <v>34.47</v>
      </c>
      <c r="H8" s="179" t="s">
        <v>186</v>
      </c>
      <c r="I8" s="187">
        <v>46105</v>
      </c>
      <c r="J8" s="187">
        <v>46112</v>
      </c>
      <c r="K8" s="179"/>
      <c r="L8" s="179" t="s">
        <v>172</v>
      </c>
      <c r="M8" s="179" t="s">
        <v>86</v>
      </c>
      <c r="N8" s="179" t="s">
        <v>86</v>
      </c>
      <c r="O8" s="179" t="s">
        <v>87</v>
      </c>
      <c r="P8" s="179" t="s">
        <v>181</v>
      </c>
      <c r="Q8" s="179" t="s">
        <v>183</v>
      </c>
      <c r="R8" s="179" t="s">
        <v>312</v>
      </c>
      <c r="S8" s="179" t="s">
        <v>86</v>
      </c>
      <c r="T8" s="179" t="s">
        <v>86</v>
      </c>
      <c r="U8" s="179" t="s">
        <v>87</v>
      </c>
      <c r="V8" s="179" t="s">
        <v>91</v>
      </c>
      <c r="W8" s="179" t="s">
        <v>92</v>
      </c>
      <c r="X8" s="179" t="s">
        <v>320</v>
      </c>
      <c r="Y8" s="179" t="s">
        <v>320</v>
      </c>
      <c r="Z8" s="179" t="s">
        <v>315</v>
      </c>
      <c r="AA8" s="179" t="s">
        <v>315</v>
      </c>
      <c r="AB8" s="179" t="s">
        <v>314</v>
      </c>
      <c r="AC8" s="179" t="s">
        <v>325</v>
      </c>
      <c r="AD8" s="179" t="s">
        <v>326</v>
      </c>
      <c r="AE8" s="179" t="s">
        <v>318</v>
      </c>
      <c r="AF8" s="179" t="s">
        <v>320</v>
      </c>
      <c r="AG8" s="179" t="s">
        <v>320</v>
      </c>
      <c r="AH8" s="179" t="s">
        <v>315</v>
      </c>
      <c r="AI8" s="179" t="s">
        <v>315</v>
      </c>
      <c r="AJ8" s="179" t="s">
        <v>315</v>
      </c>
      <c r="AK8" s="179" t="s">
        <v>327</v>
      </c>
      <c r="AL8" s="179" t="s">
        <v>328</v>
      </c>
      <c r="AM8" s="179" t="s">
        <v>318</v>
      </c>
      <c r="AN8" s="179" t="s">
        <v>313</v>
      </c>
      <c r="AO8" s="179" t="s">
        <v>313</v>
      </c>
      <c r="AP8" s="179" t="s">
        <v>314</v>
      </c>
      <c r="AQ8" s="179" t="s">
        <v>315</v>
      </c>
      <c r="AR8" s="179" t="s">
        <v>315</v>
      </c>
      <c r="AS8" s="179" t="s">
        <v>329</v>
      </c>
      <c r="AT8" s="179" t="s">
        <v>330</v>
      </c>
      <c r="AU8" s="179" t="s">
        <v>142</v>
      </c>
      <c r="AV8" s="179" t="s">
        <v>169</v>
      </c>
      <c r="AW8" s="179" t="s">
        <v>94</v>
      </c>
      <c r="AX8" s="181" t="s">
        <v>95</v>
      </c>
      <c r="AY8" s="10"/>
      <c r="AZ8" s="11">
        <f t="shared" si="0"/>
        <v>7</v>
      </c>
      <c r="BA8" s="10"/>
      <c r="BB8" s="12">
        <f t="array" ref="BB8">IF(AC8=0,"-",(AC8/(((PI()*BC8*BC8)/4)*AVERAGE(_xlfn.NUMBERVALUE(Z8:AB8))))*1000000)</f>
        <v>2343.2438572458709</v>
      </c>
      <c r="BC8" s="13">
        <f t="array" ref="BC8">IF(X8=0,"-",AVERAGE(_xlfn.NUMBERVALUE(X8:Y8)))</f>
        <v>101</v>
      </c>
      <c r="BD8" s="14">
        <f t="shared" si="1"/>
        <v>42.561972821751837</v>
      </c>
      <c r="BE8" s="14">
        <f t="shared" si="2"/>
        <v>123.4754070837013</v>
      </c>
      <c r="BF8" s="12">
        <f t="array" ref="BF8">IF(AK8=0,"-",(AK8/(((PI()*BG8*BG8)/4)*AVERAGE(_xlfn.NUMBERVALUE(AH8:AJ8))))*1000000)</f>
        <v>2387.0901179354951</v>
      </c>
      <c r="BG8" s="13">
        <f t="array" ref="BG8">IF(AF8=0,"-",AVERAGE(_xlfn.NUMBERVALUE(AF8:AG8)))</f>
        <v>101</v>
      </c>
      <c r="BH8" s="14">
        <f t="shared" si="3"/>
        <v>39.167000209576912</v>
      </c>
      <c r="BI8" s="14">
        <f t="shared" si="4"/>
        <v>113.6263423544442</v>
      </c>
      <c r="BJ8" s="12">
        <f t="array" ref="BJ8">IF(AS8=0,"-",(AS8/(((PI()*BK8*BK8)/4)*AVERAGE(_xlfn.NUMBERVALUE(AP8:AR8))))*1000000)</f>
        <v>2384.6230142327777</v>
      </c>
      <c r="BK8" s="13">
        <f t="array" ref="BK8">IF(AN8=0,"-",AVERAGE(_xlfn.NUMBERVALUE(AN8:AO8)))</f>
        <v>100</v>
      </c>
      <c r="BL8" s="14">
        <f t="shared" si="5"/>
        <v>42.831778284890873</v>
      </c>
      <c r="BM8" s="14">
        <f t="shared" si="6"/>
        <v>124.25813253522158</v>
      </c>
      <c r="BN8" s="14">
        <f t="shared" si="7"/>
        <v>41.520250438739872</v>
      </c>
      <c r="BO8" s="14">
        <f t="shared" si="7"/>
        <v>120.45329399112235</v>
      </c>
      <c r="BQ8">
        <f t="shared" si="8"/>
        <v>50</v>
      </c>
      <c r="BR8">
        <f t="shared" si="9"/>
        <v>90</v>
      </c>
      <c r="BS8">
        <f t="shared" si="10"/>
        <v>1</v>
      </c>
      <c r="BT8">
        <f t="shared" si="11"/>
        <v>0</v>
      </c>
      <c r="BU8">
        <f t="shared" si="12"/>
        <v>1</v>
      </c>
      <c r="BV8">
        <f t="shared" si="13"/>
        <v>0</v>
      </c>
      <c r="BW8">
        <f t="shared" si="14"/>
        <v>0</v>
      </c>
      <c r="BX8">
        <f t="shared" si="15"/>
        <v>0</v>
      </c>
      <c r="BY8">
        <f t="shared" si="16"/>
        <v>0</v>
      </c>
    </row>
    <row r="9" spans="1:77">
      <c r="A9" s="182" t="s">
        <v>331</v>
      </c>
      <c r="B9" s="183" t="s">
        <v>156</v>
      </c>
      <c r="C9" s="186">
        <v>46112</v>
      </c>
      <c r="D9" s="183" t="s">
        <v>80</v>
      </c>
      <c r="E9" s="183" t="s">
        <v>192</v>
      </c>
      <c r="F9" s="183" t="s">
        <v>194</v>
      </c>
      <c r="G9" s="183">
        <v>34.47</v>
      </c>
      <c r="H9" s="183" t="s">
        <v>186</v>
      </c>
      <c r="I9" s="186">
        <v>46105</v>
      </c>
      <c r="J9" s="186">
        <v>46112</v>
      </c>
      <c r="K9" s="183"/>
      <c r="L9" s="183" t="s">
        <v>172</v>
      </c>
      <c r="M9" s="183" t="s">
        <v>86</v>
      </c>
      <c r="N9" s="183" t="s">
        <v>86</v>
      </c>
      <c r="O9" s="183" t="s">
        <v>87</v>
      </c>
      <c r="P9" s="183" t="s">
        <v>181</v>
      </c>
      <c r="Q9" s="183" t="s">
        <v>183</v>
      </c>
      <c r="R9" s="183" t="s">
        <v>312</v>
      </c>
      <c r="S9" s="183" t="s">
        <v>86</v>
      </c>
      <c r="T9" s="183" t="s">
        <v>86</v>
      </c>
      <c r="U9" s="183" t="s">
        <v>87</v>
      </c>
      <c r="V9" s="183" t="s">
        <v>91</v>
      </c>
      <c r="W9" s="183" t="s">
        <v>92</v>
      </c>
      <c r="X9" s="183" t="s">
        <v>313</v>
      </c>
      <c r="Y9" s="183" t="s">
        <v>320</v>
      </c>
      <c r="Z9" s="183" t="s">
        <v>315</v>
      </c>
      <c r="AA9" s="183" t="s">
        <v>315</v>
      </c>
      <c r="AB9" s="183" t="s">
        <v>315</v>
      </c>
      <c r="AC9" s="183" t="s">
        <v>332</v>
      </c>
      <c r="AD9" s="183" t="s">
        <v>333</v>
      </c>
      <c r="AE9" s="183" t="s">
        <v>318</v>
      </c>
      <c r="AF9" s="183" t="s">
        <v>313</v>
      </c>
      <c r="AG9" s="183" t="s">
        <v>320</v>
      </c>
      <c r="AH9" s="183" t="s">
        <v>314</v>
      </c>
      <c r="AI9" s="183" t="s">
        <v>314</v>
      </c>
      <c r="AJ9" s="183" t="s">
        <v>314</v>
      </c>
      <c r="AK9" s="183" t="s">
        <v>334</v>
      </c>
      <c r="AL9" s="183" t="s">
        <v>335</v>
      </c>
      <c r="AM9" s="183" t="s">
        <v>142</v>
      </c>
      <c r="AN9" s="183" t="s">
        <v>320</v>
      </c>
      <c r="AO9" s="183" t="s">
        <v>313</v>
      </c>
      <c r="AP9" s="183" t="s">
        <v>314</v>
      </c>
      <c r="AQ9" s="183" t="s">
        <v>315</v>
      </c>
      <c r="AR9" s="183" t="s">
        <v>315</v>
      </c>
      <c r="AS9" s="183" t="s">
        <v>336</v>
      </c>
      <c r="AT9" s="183" t="s">
        <v>337</v>
      </c>
      <c r="AU9" s="183" t="s">
        <v>142</v>
      </c>
      <c r="AV9" s="183" t="s">
        <v>169</v>
      </c>
      <c r="AW9" s="183" t="s">
        <v>94</v>
      </c>
      <c r="AX9" s="185" t="s">
        <v>95</v>
      </c>
      <c r="AY9" s="10"/>
      <c r="AZ9" s="11">
        <f t="shared" si="0"/>
        <v>7</v>
      </c>
      <c r="BA9" s="10"/>
      <c r="BB9" s="12">
        <f t="array" ref="BB9">IF(AC9=0,"-",(AC9/(((PI()*BC9*BC9)/4)*AVERAGE(_xlfn.NUMBERVALUE(Z9:AB9))))*1000000)</f>
        <v>2.4480891026219012</v>
      </c>
      <c r="BC9" s="13">
        <f t="array" ref="BC9">IF(X9=0,"-",AVERAGE(_xlfn.NUMBERVALUE(X9:Y9)))</f>
        <v>100.5</v>
      </c>
      <c r="BD9" s="14">
        <f t="shared" si="1"/>
        <v>42.696590064780537</v>
      </c>
      <c r="BE9" s="14">
        <f t="shared" si="2"/>
        <v>123.86594158625049</v>
      </c>
      <c r="BF9" s="12">
        <f t="array" ref="BF9">IF(AK9=0,"-",(AK9/(((PI()*BG9*BG9)/4)*AVERAGE(_xlfn.NUMBERVALUE(AH9:AJ9))))*1000000)</f>
        <v>2.4428083718155635</v>
      </c>
      <c r="BG9" s="13">
        <f t="array" ref="BG9">IF(AF9=0,"-",AVERAGE(_xlfn.NUMBERVALUE(AF9:AG9)))</f>
        <v>100.5</v>
      </c>
      <c r="BH9" s="14">
        <f t="shared" si="3"/>
        <v>39.129086377643574</v>
      </c>
      <c r="BI9" s="14">
        <f t="shared" si="4"/>
        <v>113.51635154523811</v>
      </c>
      <c r="BJ9" s="12">
        <f t="array" ref="BJ9">IF(AS9=0,"-",(AS9/(((PI()*BK9*BK9)/4)*AVERAGE(_xlfn.NUMBERVALUE(AP9:AR9))))*1000000)</f>
        <v>2.3987095809750709</v>
      </c>
      <c r="BK9" s="13">
        <f t="array" ref="BK9">IF(AN9=0,"-",AVERAGE(_xlfn.NUMBERVALUE(AN9:AO9)))</f>
        <v>100.5</v>
      </c>
      <c r="BL9" s="14">
        <f t="shared" si="5"/>
        <v>46.075003450479144</v>
      </c>
      <c r="BM9" s="14">
        <f t="shared" si="6"/>
        <v>133.66696678409963</v>
      </c>
      <c r="BN9" s="14">
        <f t="shared" si="7"/>
        <v>42.633559964301085</v>
      </c>
      <c r="BO9" s="14">
        <f t="shared" si="7"/>
        <v>123.6830866385294</v>
      </c>
      <c r="BQ9">
        <f t="shared" si="8"/>
        <v>50</v>
      </c>
      <c r="BR9">
        <f t="shared" si="9"/>
        <v>90</v>
      </c>
      <c r="BS9">
        <f t="shared" si="10"/>
        <v>1</v>
      </c>
      <c r="BT9">
        <f t="shared" si="11"/>
        <v>0</v>
      </c>
      <c r="BU9">
        <f t="shared" si="12"/>
        <v>1</v>
      </c>
      <c r="BV9">
        <f t="shared" si="13"/>
        <v>1</v>
      </c>
      <c r="BW9">
        <f t="shared" si="14"/>
        <v>1</v>
      </c>
      <c r="BX9">
        <f t="shared" si="15"/>
        <v>1</v>
      </c>
      <c r="BY9">
        <f t="shared" si="16"/>
        <v>1</v>
      </c>
    </row>
  </sheetData>
  <conditionalFormatting sqref="BB1:BB9">
    <cfRule type="cellIs" dxfId="20" priority="9" operator="lessThan">
      <formula>2000</formula>
    </cfRule>
    <cfRule type="cellIs" dxfId="19" priority="10" operator="greaterThan">
      <formula>2500</formula>
    </cfRule>
    <cfRule type="expression" dxfId="18" priority="13">
      <formula>BW1=1</formula>
    </cfRule>
  </conditionalFormatting>
  <conditionalFormatting sqref="BD1:BD9">
    <cfRule type="expression" dxfId="17" priority="18">
      <formula>BT1=1</formula>
    </cfRule>
  </conditionalFormatting>
  <conditionalFormatting sqref="BE1:BE9">
    <cfRule type="expression" dxfId="16" priority="19">
      <formula>BT1=1</formula>
    </cfRule>
  </conditionalFormatting>
  <conditionalFormatting sqref="BF1 BF3:BF9">
    <cfRule type="expression" dxfId="15" priority="12">
      <formula>BX1=1</formula>
    </cfRule>
  </conditionalFormatting>
  <conditionalFormatting sqref="BF1:BF9">
    <cfRule type="cellIs" dxfId="14" priority="6" operator="lessThan">
      <formula>2000</formula>
    </cfRule>
    <cfRule type="cellIs" dxfId="13" priority="7" operator="greaterThan">
      <formula>2500</formula>
    </cfRule>
    <cfRule type="expression" dxfId="12" priority="8">
      <formula>CA1=1</formula>
    </cfRule>
  </conditionalFormatting>
  <conditionalFormatting sqref="BH1:BH9">
    <cfRule type="expression" dxfId="11" priority="17">
      <formula>BU1=1</formula>
    </cfRule>
  </conditionalFormatting>
  <conditionalFormatting sqref="BI1:BI9">
    <cfRule type="expression" dxfId="10" priority="16">
      <formula>BU1=1</formula>
    </cfRule>
  </conditionalFormatting>
  <conditionalFormatting sqref="BJ1:BJ9">
    <cfRule type="cellIs" dxfId="9" priority="3" operator="greaterThan">
      <formula>2500</formula>
    </cfRule>
    <cfRule type="cellIs" dxfId="8" priority="4" operator="lessThan">
      <formula>2000</formula>
    </cfRule>
    <cfRule type="expression" dxfId="7" priority="11">
      <formula>BY1=1</formula>
    </cfRule>
  </conditionalFormatting>
  <conditionalFormatting sqref="BL1:BL9">
    <cfRule type="expression" dxfId="6" priority="15">
      <formula>BV1=1</formula>
    </cfRule>
  </conditionalFormatting>
  <conditionalFormatting sqref="BM1:BM9">
    <cfRule type="expression" dxfId="5" priority="14">
      <formula>BV1=1</formula>
    </cfRule>
  </conditionalFormatting>
  <conditionalFormatting sqref="BN1:BN9">
    <cfRule type="expression" dxfId="4" priority="20">
      <formula>BS1=1</formula>
    </cfRule>
  </conditionalFormatting>
  <conditionalFormatting sqref="BO1:BO9">
    <cfRule type="expression" dxfId="3" priority="21">
      <formula>BS1=1</formula>
    </cfRule>
  </conditionalFormatting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F4FA6-6C1A-45D4-85B8-0B306D11C34D}">
  <sheetPr codeName="Hoja3"/>
  <dimension ref="A1:AA9"/>
  <sheetViews>
    <sheetView workbookViewId="0"/>
  </sheetViews>
  <sheetFormatPr baseColWidth="10" defaultColWidth="9.140625" defaultRowHeight="15"/>
  <cols>
    <col min="1" max="1" width="12.28515625" customWidth="1"/>
    <col min="2" max="2" width="9.140625" customWidth="1"/>
    <col min="3" max="3" width="10.85546875" customWidth="1"/>
    <col min="4" max="4" width="13" customWidth="1"/>
    <col min="5" max="5" width="9.140625" customWidth="1"/>
    <col min="6" max="6" width="13" customWidth="1"/>
    <col min="7" max="7" width="3.85546875" bestFit="1" customWidth="1"/>
    <col min="8" max="8" width="13" customWidth="1"/>
    <col min="9" max="10" width="10.7109375" customWidth="1"/>
    <col min="11" max="11" width="10.42578125" customWidth="1"/>
    <col min="12" max="23" width="13" customWidth="1"/>
    <col min="24" max="24" width="24.7109375" bestFit="1" customWidth="1"/>
    <col min="25" max="25" width="9.140625" customWidth="1"/>
    <col min="27" max="27" width="13" customWidth="1"/>
  </cols>
  <sheetData>
    <row r="1" spans="1:27" s="3" customFormat="1" ht="115.15" customHeight="1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3" t="s">
        <v>47</v>
      </c>
      <c r="Y1" s="3" t="s">
        <v>48</v>
      </c>
      <c r="Z1" s="3" t="s">
        <v>285</v>
      </c>
      <c r="AA1" s="3" t="s">
        <v>276</v>
      </c>
    </row>
    <row r="2" spans="1:27">
      <c r="A2" s="7" t="s">
        <v>277</v>
      </c>
      <c r="B2" s="8" t="s">
        <v>78</v>
      </c>
      <c r="C2" s="9">
        <v>46085</v>
      </c>
      <c r="D2" s="8" t="s">
        <v>80</v>
      </c>
      <c r="E2" s="8" t="s">
        <v>134</v>
      </c>
      <c r="F2" s="8" t="s">
        <v>81</v>
      </c>
      <c r="G2" s="8">
        <v>28</v>
      </c>
      <c r="H2" s="8" t="s">
        <v>82</v>
      </c>
      <c r="I2" s="9">
        <v>46083</v>
      </c>
      <c r="J2" s="9">
        <v>46111</v>
      </c>
      <c r="K2" s="8"/>
      <c r="L2" s="8" t="s">
        <v>85</v>
      </c>
      <c r="M2" s="8" t="s">
        <v>86</v>
      </c>
      <c r="N2" s="8" t="s">
        <v>86</v>
      </c>
      <c r="O2" s="8" t="s">
        <v>87</v>
      </c>
      <c r="P2" s="8" t="s">
        <v>88</v>
      </c>
      <c r="Q2" s="8" t="s">
        <v>89</v>
      </c>
      <c r="R2" s="8" t="s">
        <v>90</v>
      </c>
      <c r="S2" s="8" t="s">
        <v>86</v>
      </c>
      <c r="T2" s="8" t="s">
        <v>86</v>
      </c>
      <c r="U2" s="8" t="s">
        <v>87</v>
      </c>
      <c r="V2" s="8" t="s">
        <v>91</v>
      </c>
      <c r="W2" s="8" t="s">
        <v>92</v>
      </c>
      <c r="X2" s="8" t="s">
        <v>93</v>
      </c>
      <c r="Y2" s="8" t="s">
        <v>94</v>
      </c>
      <c r="Z2">
        <v>151</v>
      </c>
      <c r="AA2">
        <v>1</v>
      </c>
    </row>
    <row r="3" spans="1:27" ht="14.25" customHeight="1">
      <c r="A3" s="7" t="s">
        <v>278</v>
      </c>
      <c r="B3" s="15" t="s">
        <v>97</v>
      </c>
      <c r="C3" s="16">
        <v>46090</v>
      </c>
      <c r="D3" s="15" t="s">
        <v>80</v>
      </c>
      <c r="E3" s="15" t="s">
        <v>99</v>
      </c>
      <c r="F3" s="15" t="s">
        <v>100</v>
      </c>
      <c r="G3" s="15">
        <v>27.58</v>
      </c>
      <c r="H3" s="15" t="s">
        <v>91</v>
      </c>
      <c r="I3" s="16">
        <v>46080</v>
      </c>
      <c r="J3" s="16">
        <v>46108</v>
      </c>
      <c r="K3" s="15"/>
      <c r="L3" s="15" t="s">
        <v>103</v>
      </c>
      <c r="M3" s="15" t="s">
        <v>86</v>
      </c>
      <c r="N3" s="15" t="s">
        <v>86</v>
      </c>
      <c r="O3" s="15" t="s">
        <v>87</v>
      </c>
      <c r="P3" s="15" t="s">
        <v>104</v>
      </c>
      <c r="Q3" s="15" t="s">
        <v>105</v>
      </c>
      <c r="R3" s="15" t="s">
        <v>106</v>
      </c>
      <c r="S3" s="15" t="s">
        <v>86</v>
      </c>
      <c r="T3" s="15" t="s">
        <v>86</v>
      </c>
      <c r="U3" s="15" t="s">
        <v>87</v>
      </c>
      <c r="V3" s="15" t="s">
        <v>91</v>
      </c>
      <c r="W3" s="15" t="s">
        <v>92</v>
      </c>
      <c r="X3" s="15" t="s">
        <v>107</v>
      </c>
      <c r="Y3" s="15" t="s">
        <v>94</v>
      </c>
      <c r="Z3">
        <v>151</v>
      </c>
      <c r="AA3">
        <v>1</v>
      </c>
    </row>
    <row r="4" spans="1:27" ht="14.25" customHeight="1">
      <c r="A4" s="7" t="s">
        <v>279</v>
      </c>
      <c r="B4" s="8" t="s">
        <v>109</v>
      </c>
      <c r="C4" s="9">
        <v>46090</v>
      </c>
      <c r="D4" s="8" t="s">
        <v>80</v>
      </c>
      <c r="E4" s="8" t="s">
        <v>110</v>
      </c>
      <c r="F4" s="8" t="s">
        <v>100</v>
      </c>
      <c r="G4" s="8">
        <v>27.58</v>
      </c>
      <c r="H4" s="8" t="s">
        <v>91</v>
      </c>
      <c r="I4" s="9">
        <v>46080</v>
      </c>
      <c r="J4" s="9">
        <v>46108</v>
      </c>
      <c r="K4" s="8"/>
      <c r="L4" s="8" t="s">
        <v>103</v>
      </c>
      <c r="M4" s="8" t="s">
        <v>86</v>
      </c>
      <c r="N4" s="8" t="s">
        <v>86</v>
      </c>
      <c r="O4" s="8" t="s">
        <v>87</v>
      </c>
      <c r="P4" s="8" t="s">
        <v>104</v>
      </c>
      <c r="Q4" s="8" t="s">
        <v>105</v>
      </c>
      <c r="R4" s="8" t="s">
        <v>106</v>
      </c>
      <c r="S4" s="8" t="s">
        <v>86</v>
      </c>
      <c r="T4" s="8" t="s">
        <v>86</v>
      </c>
      <c r="U4" s="8" t="s">
        <v>87</v>
      </c>
      <c r="V4" s="8" t="s">
        <v>91</v>
      </c>
      <c r="W4" s="8" t="s">
        <v>92</v>
      </c>
      <c r="X4" s="8" t="s">
        <v>107</v>
      </c>
      <c r="Y4" s="8" t="s">
        <v>94</v>
      </c>
      <c r="Z4">
        <v>101</v>
      </c>
      <c r="AA4">
        <v>2</v>
      </c>
    </row>
    <row r="5" spans="1:27">
      <c r="A5" s="7" t="s">
        <v>280</v>
      </c>
      <c r="B5" s="15" t="s">
        <v>112</v>
      </c>
      <c r="C5" s="16">
        <v>46090</v>
      </c>
      <c r="D5" s="15" t="s">
        <v>80</v>
      </c>
      <c r="E5" s="15" t="s">
        <v>113</v>
      </c>
      <c r="F5" s="15" t="s">
        <v>100</v>
      </c>
      <c r="G5" s="15">
        <v>24.13</v>
      </c>
      <c r="H5" s="15" t="s">
        <v>91</v>
      </c>
      <c r="I5" s="16">
        <v>46080</v>
      </c>
      <c r="J5" s="16">
        <v>46108</v>
      </c>
      <c r="K5" s="15"/>
      <c r="L5" s="15" t="s">
        <v>103</v>
      </c>
      <c r="M5" s="15" t="s">
        <v>86</v>
      </c>
      <c r="N5" s="15" t="s">
        <v>86</v>
      </c>
      <c r="O5" s="15" t="s">
        <v>87</v>
      </c>
      <c r="P5" s="15" t="s">
        <v>104</v>
      </c>
      <c r="Q5" s="15" t="s">
        <v>105</v>
      </c>
      <c r="R5" s="15" t="s">
        <v>106</v>
      </c>
      <c r="S5" s="15" t="s">
        <v>86</v>
      </c>
      <c r="T5" s="15" t="s">
        <v>86</v>
      </c>
      <c r="U5" s="15" t="s">
        <v>87</v>
      </c>
      <c r="V5" s="15" t="s">
        <v>91</v>
      </c>
      <c r="W5" s="15" t="s">
        <v>92</v>
      </c>
      <c r="X5" s="15" t="s">
        <v>107</v>
      </c>
      <c r="Y5" s="15" t="s">
        <v>94</v>
      </c>
      <c r="Z5">
        <v>101</v>
      </c>
      <c r="AA5">
        <v>3</v>
      </c>
    </row>
    <row r="6" spans="1:27">
      <c r="A6" s="7" t="s">
        <v>281</v>
      </c>
      <c r="B6" s="8" t="s">
        <v>115</v>
      </c>
      <c r="C6" s="9">
        <v>46090</v>
      </c>
      <c r="D6" s="8" t="s">
        <v>80</v>
      </c>
      <c r="E6" s="8" t="s">
        <v>116</v>
      </c>
      <c r="F6" s="8" t="s">
        <v>100</v>
      </c>
      <c r="G6" s="8">
        <v>27.58</v>
      </c>
      <c r="H6" s="8" t="s">
        <v>91</v>
      </c>
      <c r="I6" s="9">
        <v>46080</v>
      </c>
      <c r="J6" s="9">
        <v>46108</v>
      </c>
      <c r="K6" s="8"/>
      <c r="L6" s="8" t="s">
        <v>103</v>
      </c>
      <c r="M6" s="8" t="s">
        <v>86</v>
      </c>
      <c r="N6" s="8" t="s">
        <v>86</v>
      </c>
      <c r="O6" s="8" t="s">
        <v>87</v>
      </c>
      <c r="P6" s="8" t="s">
        <v>104</v>
      </c>
      <c r="Q6" s="8" t="s">
        <v>105</v>
      </c>
      <c r="R6" s="8" t="s">
        <v>106</v>
      </c>
      <c r="S6" s="8" t="s">
        <v>86</v>
      </c>
      <c r="T6" s="8" t="s">
        <v>86</v>
      </c>
      <c r="U6" s="8" t="s">
        <v>87</v>
      </c>
      <c r="V6" s="8" t="s">
        <v>91</v>
      </c>
      <c r="W6" s="8" t="s">
        <v>92</v>
      </c>
      <c r="X6" s="8" t="s">
        <v>107</v>
      </c>
      <c r="Y6" s="8" t="s">
        <v>94</v>
      </c>
      <c r="Z6">
        <v>101</v>
      </c>
      <c r="AA6">
        <v>3</v>
      </c>
    </row>
    <row r="7" spans="1:27">
      <c r="A7" s="7" t="s">
        <v>282</v>
      </c>
      <c r="B7" s="15" t="s">
        <v>118</v>
      </c>
      <c r="C7" s="16">
        <v>46090</v>
      </c>
      <c r="D7" s="15" t="s">
        <v>80</v>
      </c>
      <c r="E7" s="15" t="s">
        <v>119</v>
      </c>
      <c r="F7" s="15" t="s">
        <v>100</v>
      </c>
      <c r="G7" s="15">
        <v>27.58</v>
      </c>
      <c r="H7" s="15" t="s">
        <v>91</v>
      </c>
      <c r="I7" s="16">
        <v>46081</v>
      </c>
      <c r="J7" s="16">
        <v>46109</v>
      </c>
      <c r="K7" s="15"/>
      <c r="L7" s="15" t="s">
        <v>103</v>
      </c>
      <c r="M7" s="15" t="s">
        <v>86</v>
      </c>
      <c r="N7" s="15" t="s">
        <v>86</v>
      </c>
      <c r="O7" s="15" t="s">
        <v>87</v>
      </c>
      <c r="P7" s="15" t="s">
        <v>104</v>
      </c>
      <c r="Q7" s="15" t="s">
        <v>105</v>
      </c>
      <c r="R7" s="15" t="s">
        <v>106</v>
      </c>
      <c r="S7" s="15" t="s">
        <v>86</v>
      </c>
      <c r="T7" s="15" t="s">
        <v>86</v>
      </c>
      <c r="U7" s="15" t="s">
        <v>87</v>
      </c>
      <c r="V7" s="15" t="s">
        <v>91</v>
      </c>
      <c r="W7" s="15" t="s">
        <v>92</v>
      </c>
      <c r="X7" s="15" t="s">
        <v>107</v>
      </c>
      <c r="Y7" s="15" t="s">
        <v>94</v>
      </c>
      <c r="Z7">
        <v>101</v>
      </c>
      <c r="AA7">
        <v>1</v>
      </c>
    </row>
    <row r="8" spans="1:27">
      <c r="A8" s="7" t="s">
        <v>283</v>
      </c>
      <c r="B8" s="8" t="s">
        <v>123</v>
      </c>
      <c r="C8" s="9">
        <v>46104</v>
      </c>
      <c r="D8" s="8" t="s">
        <v>80</v>
      </c>
      <c r="E8" s="8" t="s">
        <v>148</v>
      </c>
      <c r="F8" s="8" t="s">
        <v>125</v>
      </c>
      <c r="G8" s="8">
        <v>28</v>
      </c>
      <c r="H8" s="8" t="s">
        <v>126</v>
      </c>
      <c r="I8" s="9">
        <v>46097</v>
      </c>
      <c r="J8" s="9">
        <v>46104</v>
      </c>
      <c r="K8" s="8"/>
      <c r="L8" s="8" t="s">
        <v>85</v>
      </c>
      <c r="M8" s="8" t="s">
        <v>86</v>
      </c>
      <c r="N8" s="8" t="s">
        <v>86</v>
      </c>
      <c r="O8" s="8" t="s">
        <v>87</v>
      </c>
      <c r="P8" s="8" t="s">
        <v>88</v>
      </c>
      <c r="Q8" s="8" t="s">
        <v>89</v>
      </c>
      <c r="R8" s="8" t="s">
        <v>90</v>
      </c>
      <c r="S8" s="8" t="s">
        <v>86</v>
      </c>
      <c r="T8" s="8" t="s">
        <v>86</v>
      </c>
      <c r="U8" s="8" t="s">
        <v>87</v>
      </c>
      <c r="V8" s="8" t="s">
        <v>91</v>
      </c>
      <c r="W8" s="8" t="s">
        <v>92</v>
      </c>
      <c r="X8" s="8" t="s">
        <v>93</v>
      </c>
      <c r="Y8" s="8" t="s">
        <v>94</v>
      </c>
      <c r="Z8">
        <v>101</v>
      </c>
      <c r="AA8">
        <v>2</v>
      </c>
    </row>
    <row r="9" spans="1:27">
      <c r="A9" s="7" t="s">
        <v>284</v>
      </c>
      <c r="B9" s="15" t="s">
        <v>129</v>
      </c>
      <c r="C9" s="16">
        <v>46106</v>
      </c>
      <c r="D9" s="15" t="s">
        <v>80</v>
      </c>
      <c r="E9" s="15" t="s">
        <v>131</v>
      </c>
      <c r="F9" s="15" t="s">
        <v>100</v>
      </c>
      <c r="G9" s="15">
        <v>27.58</v>
      </c>
      <c r="H9" s="15" t="s">
        <v>91</v>
      </c>
      <c r="I9" s="16">
        <v>46079</v>
      </c>
      <c r="J9" s="16">
        <v>46107</v>
      </c>
      <c r="K9" s="15"/>
      <c r="L9" s="15" t="s">
        <v>103</v>
      </c>
      <c r="M9" s="15" t="s">
        <v>86</v>
      </c>
      <c r="N9" s="15" t="s">
        <v>86</v>
      </c>
      <c r="O9" s="15" t="s">
        <v>87</v>
      </c>
      <c r="P9" s="15" t="s">
        <v>104</v>
      </c>
      <c r="Q9" s="15" t="s">
        <v>105</v>
      </c>
      <c r="R9" s="15" t="s">
        <v>106</v>
      </c>
      <c r="S9" s="15" t="s">
        <v>86</v>
      </c>
      <c r="T9" s="15" t="s">
        <v>86</v>
      </c>
      <c r="U9" s="15" t="s">
        <v>87</v>
      </c>
      <c r="V9" s="15" t="s">
        <v>91</v>
      </c>
      <c r="W9" s="15" t="s">
        <v>92</v>
      </c>
      <c r="X9" s="15" t="s">
        <v>107</v>
      </c>
      <c r="Y9" s="15" t="s">
        <v>94</v>
      </c>
      <c r="Z9">
        <v>151</v>
      </c>
      <c r="AA9">
        <v>1</v>
      </c>
    </row>
  </sheetData>
  <phoneticPr fontId="20" type="noConversion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BY9"/>
  <sheetViews>
    <sheetView workbookViewId="0"/>
  </sheetViews>
  <sheetFormatPr baseColWidth="10" defaultColWidth="8.85546875" defaultRowHeight="15"/>
  <sheetData>
    <row r="1" spans="1:7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</row>
    <row r="2" spans="1:77">
      <c r="A2" t="s">
        <v>77</v>
      </c>
      <c r="B2" t="s">
        <v>78</v>
      </c>
      <c r="C2" t="s">
        <v>79</v>
      </c>
      <c r="D2" t="s">
        <v>80</v>
      </c>
      <c r="E2">
        <v>54</v>
      </c>
      <c r="F2" t="s">
        <v>81</v>
      </c>
      <c r="G2">
        <v>28</v>
      </c>
      <c r="H2" t="s">
        <v>82</v>
      </c>
      <c r="I2" t="s">
        <v>83</v>
      </c>
      <c r="J2" t="s">
        <v>84</v>
      </c>
      <c r="L2" t="s">
        <v>85</v>
      </c>
      <c r="M2" t="s">
        <v>86</v>
      </c>
      <c r="N2" t="s">
        <v>86</v>
      </c>
      <c r="O2" t="s">
        <v>87</v>
      </c>
      <c r="P2" t="s">
        <v>88</v>
      </c>
      <c r="Q2" t="s">
        <v>89</v>
      </c>
      <c r="R2" t="s">
        <v>90</v>
      </c>
      <c r="S2" t="s">
        <v>86</v>
      </c>
      <c r="T2" t="s">
        <v>86</v>
      </c>
      <c r="U2" t="s">
        <v>87</v>
      </c>
      <c r="V2" t="s">
        <v>91</v>
      </c>
      <c r="W2" t="s">
        <v>92</v>
      </c>
      <c r="X2">
        <v>100.1</v>
      </c>
      <c r="Y2">
        <v>100.24</v>
      </c>
      <c r="Z2">
        <v>200.98</v>
      </c>
      <c r="AA2">
        <v>200.16</v>
      </c>
      <c r="AB2">
        <v>200.7</v>
      </c>
      <c r="AC2">
        <v>3500</v>
      </c>
      <c r="AD2">
        <v>352.4</v>
      </c>
      <c r="AE2">
        <v>4</v>
      </c>
      <c r="AF2">
        <v>100.18</v>
      </c>
      <c r="AG2">
        <v>100.8</v>
      </c>
      <c r="AH2">
        <v>200.34</v>
      </c>
      <c r="AI2">
        <v>200.76</v>
      </c>
      <c r="AJ2">
        <v>200.14</v>
      </c>
      <c r="AK2">
        <v>3472</v>
      </c>
      <c r="AL2">
        <v>371</v>
      </c>
      <c r="AM2">
        <v>5</v>
      </c>
      <c r="AN2">
        <v>100.1</v>
      </c>
      <c r="AO2">
        <v>100.9</v>
      </c>
      <c r="AP2">
        <v>200.36</v>
      </c>
      <c r="AQ2">
        <v>200.18</v>
      </c>
      <c r="AR2">
        <v>200.94</v>
      </c>
      <c r="AS2">
        <v>3592</v>
      </c>
      <c r="AT2">
        <v>365.9</v>
      </c>
      <c r="AU2">
        <v>5</v>
      </c>
      <c r="AV2" t="s">
        <v>93</v>
      </c>
      <c r="AW2" t="s">
        <v>94</v>
      </c>
      <c r="AX2" t="s">
        <v>95</v>
      </c>
      <c r="AZ2">
        <v>28</v>
      </c>
    </row>
    <row r="3" spans="1:77">
      <c r="A3" t="s">
        <v>96</v>
      </c>
      <c r="B3" t="s">
        <v>97</v>
      </c>
      <c r="C3" t="s">
        <v>98</v>
      </c>
      <c r="D3" t="s">
        <v>80</v>
      </c>
      <c r="E3" t="s">
        <v>99</v>
      </c>
      <c r="F3" t="s">
        <v>100</v>
      </c>
      <c r="G3">
        <v>27.58</v>
      </c>
      <c r="H3" t="s">
        <v>91</v>
      </c>
      <c r="I3" t="s">
        <v>101</v>
      </c>
      <c r="J3" t="s">
        <v>102</v>
      </c>
      <c r="L3" t="s">
        <v>103</v>
      </c>
      <c r="M3" t="s">
        <v>86</v>
      </c>
      <c r="N3" t="s">
        <v>86</v>
      </c>
      <c r="O3" t="s">
        <v>87</v>
      </c>
      <c r="P3" t="s">
        <v>104</v>
      </c>
      <c r="Q3" t="s">
        <v>105</v>
      </c>
      <c r="R3" t="s">
        <v>106</v>
      </c>
      <c r="S3" t="s">
        <v>86</v>
      </c>
      <c r="T3" t="s">
        <v>86</v>
      </c>
      <c r="U3" t="s">
        <v>87</v>
      </c>
      <c r="V3" t="s">
        <v>91</v>
      </c>
      <c r="W3" t="s">
        <v>92</v>
      </c>
      <c r="X3">
        <v>102.54</v>
      </c>
      <c r="Y3">
        <v>101.32</v>
      </c>
      <c r="Z3">
        <v>202.46</v>
      </c>
      <c r="AA3">
        <v>201.74</v>
      </c>
      <c r="AB3">
        <v>202.58</v>
      </c>
      <c r="AC3">
        <v>3654</v>
      </c>
      <c r="AD3">
        <v>301.3</v>
      </c>
      <c r="AE3">
        <v>4</v>
      </c>
      <c r="AF3">
        <v>101.46</v>
      </c>
      <c r="AG3">
        <v>102.42</v>
      </c>
      <c r="AH3">
        <v>201.48</v>
      </c>
      <c r="AI3">
        <v>202.48</v>
      </c>
      <c r="AJ3">
        <v>201.52</v>
      </c>
      <c r="AK3">
        <v>3655</v>
      </c>
      <c r="AL3">
        <v>292.89999999999998</v>
      </c>
      <c r="AM3">
        <v>4</v>
      </c>
      <c r="AN3">
        <v>102.56</v>
      </c>
      <c r="AO3">
        <v>101.74</v>
      </c>
      <c r="AP3">
        <v>202.58</v>
      </c>
      <c r="AQ3">
        <v>201.32</v>
      </c>
      <c r="AR3">
        <v>202.68</v>
      </c>
      <c r="AS3">
        <v>3676</v>
      </c>
      <c r="AT3">
        <v>308.5</v>
      </c>
      <c r="AU3">
        <v>4</v>
      </c>
      <c r="AV3" t="s">
        <v>107</v>
      </c>
      <c r="AW3" t="s">
        <v>94</v>
      </c>
      <c r="AX3" t="s">
        <v>95</v>
      </c>
      <c r="AZ3">
        <v>28</v>
      </c>
    </row>
    <row r="4" spans="1:77">
      <c r="A4" t="s">
        <v>108</v>
      </c>
      <c r="B4" t="s">
        <v>109</v>
      </c>
      <c r="C4" t="s">
        <v>98</v>
      </c>
      <c r="D4" t="s">
        <v>80</v>
      </c>
      <c r="E4" t="s">
        <v>110</v>
      </c>
      <c r="F4" t="s">
        <v>100</v>
      </c>
      <c r="G4">
        <v>27.58</v>
      </c>
      <c r="H4" t="s">
        <v>91</v>
      </c>
      <c r="I4" t="s">
        <v>101</v>
      </c>
      <c r="J4" t="s">
        <v>102</v>
      </c>
      <c r="L4" t="s">
        <v>103</v>
      </c>
      <c r="M4" t="s">
        <v>86</v>
      </c>
      <c r="N4" t="s">
        <v>86</v>
      </c>
      <c r="O4" t="s">
        <v>87</v>
      </c>
      <c r="P4" t="s">
        <v>104</v>
      </c>
      <c r="Q4" t="s">
        <v>105</v>
      </c>
      <c r="R4" t="s">
        <v>106</v>
      </c>
      <c r="S4" t="s">
        <v>86</v>
      </c>
      <c r="T4" t="s">
        <v>86</v>
      </c>
      <c r="U4" t="s">
        <v>87</v>
      </c>
      <c r="V4" t="s">
        <v>91</v>
      </c>
      <c r="W4" t="s">
        <v>92</v>
      </c>
      <c r="X4">
        <v>101.56</v>
      </c>
      <c r="Y4">
        <v>102.48</v>
      </c>
      <c r="Z4">
        <v>201.76</v>
      </c>
      <c r="AA4">
        <v>202.54</v>
      </c>
      <c r="AB4">
        <v>201.62</v>
      </c>
      <c r="AC4">
        <v>3548</v>
      </c>
      <c r="AD4">
        <v>368.9</v>
      </c>
      <c r="AE4">
        <v>2</v>
      </c>
      <c r="AF4">
        <v>102.76</v>
      </c>
      <c r="AG4">
        <v>101.32</v>
      </c>
      <c r="AH4">
        <v>202.42</v>
      </c>
      <c r="AI4">
        <v>201.68</v>
      </c>
      <c r="AJ4">
        <v>202.42</v>
      </c>
      <c r="AK4">
        <v>3659</v>
      </c>
      <c r="AL4">
        <v>345.8</v>
      </c>
      <c r="AM4">
        <v>2</v>
      </c>
      <c r="AN4">
        <v>101.54</v>
      </c>
      <c r="AO4">
        <v>102.68</v>
      </c>
      <c r="AP4">
        <v>201.32</v>
      </c>
      <c r="AQ4">
        <v>202.44</v>
      </c>
      <c r="AR4">
        <v>201.78</v>
      </c>
      <c r="AS4">
        <v>3578</v>
      </c>
      <c r="AU4">
        <v>2</v>
      </c>
      <c r="AV4" t="s">
        <v>107</v>
      </c>
      <c r="AW4" t="s">
        <v>94</v>
      </c>
      <c r="AX4" t="s">
        <v>95</v>
      </c>
      <c r="AZ4">
        <v>28</v>
      </c>
    </row>
    <row r="5" spans="1:77">
      <c r="A5" t="s">
        <v>111</v>
      </c>
      <c r="B5" t="s">
        <v>112</v>
      </c>
      <c r="C5" t="s">
        <v>98</v>
      </c>
      <c r="D5" t="s">
        <v>80</v>
      </c>
      <c r="E5" t="s">
        <v>113</v>
      </c>
      <c r="F5" t="s">
        <v>100</v>
      </c>
      <c r="G5">
        <v>24.13</v>
      </c>
      <c r="H5" t="s">
        <v>91</v>
      </c>
      <c r="I5" t="s">
        <v>101</v>
      </c>
      <c r="J5" t="s">
        <v>102</v>
      </c>
      <c r="L5" t="s">
        <v>103</v>
      </c>
      <c r="M5" t="s">
        <v>86</v>
      </c>
      <c r="N5" t="s">
        <v>86</v>
      </c>
      <c r="O5" t="s">
        <v>87</v>
      </c>
      <c r="P5" t="s">
        <v>104</v>
      </c>
      <c r="Q5" t="s">
        <v>105</v>
      </c>
      <c r="R5" t="s">
        <v>106</v>
      </c>
      <c r="S5" t="s">
        <v>86</v>
      </c>
      <c r="T5" t="s">
        <v>86</v>
      </c>
      <c r="U5" t="s">
        <v>87</v>
      </c>
      <c r="V5" t="s">
        <v>91</v>
      </c>
      <c r="W5" t="s">
        <v>92</v>
      </c>
      <c r="X5">
        <v>101.32</v>
      </c>
      <c r="Y5">
        <v>102.54</v>
      </c>
      <c r="Z5">
        <v>201.68</v>
      </c>
      <c r="AA5">
        <v>202.42</v>
      </c>
      <c r="AB5">
        <v>201.68</v>
      </c>
      <c r="AC5">
        <v>3567</v>
      </c>
      <c r="AD5">
        <v>380.5</v>
      </c>
      <c r="AE5">
        <v>2</v>
      </c>
      <c r="AF5">
        <v>102.68</v>
      </c>
      <c r="AG5">
        <v>101.32</v>
      </c>
      <c r="AH5">
        <v>202.44</v>
      </c>
      <c r="AI5">
        <v>201.68</v>
      </c>
      <c r="AJ5">
        <v>202.32</v>
      </c>
      <c r="AK5">
        <v>3567</v>
      </c>
      <c r="AL5">
        <v>347.9</v>
      </c>
      <c r="AM5">
        <v>2</v>
      </c>
      <c r="AN5">
        <v>101.56</v>
      </c>
      <c r="AO5">
        <v>102.74</v>
      </c>
      <c r="AP5">
        <v>201.68</v>
      </c>
      <c r="AQ5">
        <v>202.42</v>
      </c>
      <c r="AR5">
        <v>201.56</v>
      </c>
      <c r="AS5">
        <v>3675</v>
      </c>
      <c r="AT5">
        <v>398</v>
      </c>
      <c r="AU5">
        <v>2</v>
      </c>
      <c r="AV5" t="s">
        <v>107</v>
      </c>
      <c r="AW5" t="s">
        <v>94</v>
      </c>
      <c r="AX5" t="s">
        <v>95</v>
      </c>
      <c r="AZ5">
        <v>28</v>
      </c>
    </row>
    <row r="6" spans="1:77">
      <c r="A6" t="s">
        <v>114</v>
      </c>
      <c r="B6" t="s">
        <v>115</v>
      </c>
      <c r="C6" t="s">
        <v>98</v>
      </c>
      <c r="D6" t="s">
        <v>80</v>
      </c>
      <c r="E6" t="s">
        <v>116</v>
      </c>
      <c r="F6" t="s">
        <v>100</v>
      </c>
      <c r="G6">
        <v>27.58</v>
      </c>
      <c r="H6" t="s">
        <v>91</v>
      </c>
      <c r="I6" t="s">
        <v>101</v>
      </c>
      <c r="J6" t="s">
        <v>102</v>
      </c>
      <c r="L6" t="s">
        <v>103</v>
      </c>
      <c r="M6" t="s">
        <v>86</v>
      </c>
      <c r="N6" t="s">
        <v>86</v>
      </c>
      <c r="O6" t="s">
        <v>87</v>
      </c>
      <c r="P6" t="s">
        <v>104</v>
      </c>
      <c r="Q6" t="s">
        <v>105</v>
      </c>
      <c r="R6" t="s">
        <v>106</v>
      </c>
      <c r="S6" t="s">
        <v>86</v>
      </c>
      <c r="T6" t="s">
        <v>86</v>
      </c>
      <c r="U6" t="s">
        <v>87</v>
      </c>
      <c r="V6" t="s">
        <v>91</v>
      </c>
      <c r="W6" t="s">
        <v>92</v>
      </c>
      <c r="X6">
        <v>101.46</v>
      </c>
      <c r="Y6">
        <v>102.68</v>
      </c>
      <c r="Z6">
        <v>201.66</v>
      </c>
      <c r="AA6">
        <v>202.48</v>
      </c>
      <c r="AB6">
        <v>201.32</v>
      </c>
      <c r="AC6">
        <v>3465</v>
      </c>
      <c r="AD6">
        <v>326.8</v>
      </c>
      <c r="AE6">
        <v>2</v>
      </c>
      <c r="AF6">
        <v>102.64</v>
      </c>
      <c r="AG6">
        <v>101.56</v>
      </c>
      <c r="AH6">
        <v>202.32</v>
      </c>
      <c r="AI6">
        <v>201.44</v>
      </c>
      <c r="AJ6">
        <v>202.32</v>
      </c>
      <c r="AK6">
        <v>3564</v>
      </c>
      <c r="AL6">
        <v>356.4</v>
      </c>
      <c r="AM6">
        <v>2</v>
      </c>
      <c r="AN6">
        <v>101.42</v>
      </c>
      <c r="AO6">
        <v>102.36</v>
      </c>
      <c r="AP6">
        <v>201.78</v>
      </c>
      <c r="AQ6">
        <v>202.66</v>
      </c>
      <c r="AR6">
        <v>201.78</v>
      </c>
      <c r="AS6">
        <v>3653</v>
      </c>
      <c r="AT6">
        <v>321.89999999999998</v>
      </c>
      <c r="AU6">
        <v>2</v>
      </c>
      <c r="AV6" t="s">
        <v>107</v>
      </c>
      <c r="AW6" t="s">
        <v>94</v>
      </c>
      <c r="AX6" t="s">
        <v>95</v>
      </c>
      <c r="AZ6">
        <v>28</v>
      </c>
    </row>
    <row r="7" spans="1:77">
      <c r="A7" t="s">
        <v>117</v>
      </c>
      <c r="B7" t="s">
        <v>118</v>
      </c>
      <c r="C7" t="s">
        <v>98</v>
      </c>
      <c r="D7" t="s">
        <v>80</v>
      </c>
      <c r="E7" t="s">
        <v>119</v>
      </c>
      <c r="F7" t="s">
        <v>100</v>
      </c>
      <c r="G7">
        <v>27.58</v>
      </c>
      <c r="H7" t="s">
        <v>91</v>
      </c>
      <c r="I7" t="s">
        <v>120</v>
      </c>
      <c r="J7" t="s">
        <v>121</v>
      </c>
      <c r="L7" t="s">
        <v>103</v>
      </c>
      <c r="M7" t="s">
        <v>86</v>
      </c>
      <c r="N7" t="s">
        <v>86</v>
      </c>
      <c r="O7" t="s">
        <v>87</v>
      </c>
      <c r="P7" t="s">
        <v>104</v>
      </c>
      <c r="Q7" t="s">
        <v>105</v>
      </c>
      <c r="R7" t="s">
        <v>106</v>
      </c>
      <c r="S7" t="s">
        <v>86</v>
      </c>
      <c r="T7" t="s">
        <v>86</v>
      </c>
      <c r="U7" t="s">
        <v>87</v>
      </c>
      <c r="V7" t="s">
        <v>91</v>
      </c>
      <c r="W7" t="s">
        <v>92</v>
      </c>
      <c r="X7">
        <v>100.9</v>
      </c>
      <c r="Y7">
        <v>100.76</v>
      </c>
      <c r="Z7">
        <v>200.98</v>
      </c>
      <c r="AA7">
        <v>200.54</v>
      </c>
      <c r="AB7">
        <v>200.1</v>
      </c>
      <c r="AC7">
        <v>3500</v>
      </c>
      <c r="AD7">
        <v>186.8</v>
      </c>
      <c r="AE7">
        <v>5</v>
      </c>
      <c r="AF7">
        <v>100.98</v>
      </c>
      <c r="AG7">
        <v>100.6</v>
      </c>
      <c r="AH7">
        <v>200.7</v>
      </c>
      <c r="AI7">
        <v>200.68</v>
      </c>
      <c r="AJ7">
        <v>200.92</v>
      </c>
      <c r="AK7">
        <v>3478</v>
      </c>
      <c r="AL7">
        <v>183.9</v>
      </c>
      <c r="AM7">
        <v>4</v>
      </c>
      <c r="AN7">
        <v>100.8</v>
      </c>
      <c r="AO7">
        <v>100.6</v>
      </c>
      <c r="AP7">
        <v>200.6</v>
      </c>
      <c r="AQ7">
        <v>200.7</v>
      </c>
      <c r="AR7">
        <v>200.14</v>
      </c>
      <c r="AS7">
        <v>3500</v>
      </c>
      <c r="AT7">
        <v>174.8</v>
      </c>
      <c r="AU7">
        <v>5</v>
      </c>
      <c r="AV7" t="s">
        <v>107</v>
      </c>
      <c r="AW7" t="s">
        <v>94</v>
      </c>
      <c r="AX7" t="s">
        <v>95</v>
      </c>
      <c r="AZ7">
        <v>28</v>
      </c>
    </row>
    <row r="8" spans="1:77">
      <c r="A8" t="s">
        <v>122</v>
      </c>
      <c r="B8" t="s">
        <v>123</v>
      </c>
      <c r="C8" t="s">
        <v>124</v>
      </c>
      <c r="D8" t="s">
        <v>80</v>
      </c>
      <c r="E8">
        <v>62</v>
      </c>
      <c r="F8" t="s">
        <v>125</v>
      </c>
      <c r="G8">
        <v>28</v>
      </c>
      <c r="H8" t="s">
        <v>126</v>
      </c>
      <c r="I8" t="s">
        <v>127</v>
      </c>
      <c r="J8" t="s">
        <v>124</v>
      </c>
      <c r="L8" t="s">
        <v>85</v>
      </c>
      <c r="M8" t="s">
        <v>86</v>
      </c>
      <c r="N8" t="s">
        <v>86</v>
      </c>
      <c r="O8" t="s">
        <v>87</v>
      </c>
      <c r="P8" t="s">
        <v>88</v>
      </c>
      <c r="Q8" t="s">
        <v>89</v>
      </c>
      <c r="R8" t="s">
        <v>90</v>
      </c>
      <c r="S8" t="s">
        <v>86</v>
      </c>
      <c r="T8" t="s">
        <v>86</v>
      </c>
      <c r="U8" t="s">
        <v>87</v>
      </c>
      <c r="V8" t="s">
        <v>91</v>
      </c>
      <c r="W8" t="s">
        <v>92</v>
      </c>
      <c r="X8">
        <v>101.56</v>
      </c>
      <c r="Y8">
        <v>102.72</v>
      </c>
      <c r="Z8">
        <v>201.36</v>
      </c>
      <c r="AA8">
        <v>202.54</v>
      </c>
      <c r="AB8">
        <v>201.66</v>
      </c>
      <c r="AC8">
        <v>3655</v>
      </c>
      <c r="AD8">
        <v>209.4</v>
      </c>
      <c r="AE8">
        <v>2</v>
      </c>
      <c r="AF8">
        <v>102.48</v>
      </c>
      <c r="AG8">
        <v>101.36</v>
      </c>
      <c r="AH8">
        <v>201.52</v>
      </c>
      <c r="AI8">
        <v>202.36</v>
      </c>
      <c r="AJ8">
        <v>201.74</v>
      </c>
      <c r="AK8">
        <v>3655</v>
      </c>
      <c r="AL8">
        <v>216.9</v>
      </c>
      <c r="AM8">
        <v>2</v>
      </c>
      <c r="AN8">
        <v>101.66</v>
      </c>
      <c r="AO8">
        <v>102.42</v>
      </c>
      <c r="AP8">
        <v>201.34</v>
      </c>
      <c r="AQ8">
        <v>202.62</v>
      </c>
      <c r="AR8">
        <v>201.46</v>
      </c>
      <c r="AS8">
        <v>3548</v>
      </c>
      <c r="AT8">
        <v>220.7</v>
      </c>
      <c r="AU8">
        <v>2</v>
      </c>
      <c r="AV8" t="s">
        <v>93</v>
      </c>
      <c r="AW8" t="s">
        <v>94</v>
      </c>
      <c r="AX8" t="s">
        <v>95</v>
      </c>
      <c r="AZ8">
        <v>7</v>
      </c>
    </row>
    <row r="9" spans="1:77">
      <c r="A9" t="s">
        <v>128</v>
      </c>
      <c r="B9" t="s">
        <v>129</v>
      </c>
      <c r="C9" t="s">
        <v>130</v>
      </c>
      <c r="D9" t="s">
        <v>80</v>
      </c>
      <c r="E9" t="s">
        <v>131</v>
      </c>
      <c r="F9" t="s">
        <v>100</v>
      </c>
      <c r="G9">
        <v>27.58</v>
      </c>
      <c r="H9" t="s">
        <v>91</v>
      </c>
      <c r="I9" t="s">
        <v>132</v>
      </c>
      <c r="J9" t="s">
        <v>133</v>
      </c>
      <c r="L9" t="s">
        <v>103</v>
      </c>
      <c r="M9" t="s">
        <v>86</v>
      </c>
      <c r="N9" t="s">
        <v>86</v>
      </c>
      <c r="O9" t="s">
        <v>87</v>
      </c>
      <c r="P9" t="s">
        <v>104</v>
      </c>
      <c r="Q9" t="s">
        <v>105</v>
      </c>
      <c r="R9" t="s">
        <v>106</v>
      </c>
      <c r="S9" t="s">
        <v>86</v>
      </c>
      <c r="T9" t="s">
        <v>86</v>
      </c>
      <c r="U9" t="s">
        <v>87</v>
      </c>
      <c r="V9" t="s">
        <v>91</v>
      </c>
      <c r="W9" t="s">
        <v>92</v>
      </c>
      <c r="X9">
        <v>102.46</v>
      </c>
      <c r="Y9">
        <v>101.38</v>
      </c>
      <c r="Z9">
        <v>202.76</v>
      </c>
      <c r="AA9">
        <v>201.34</v>
      </c>
      <c r="AB9">
        <v>202.56</v>
      </c>
      <c r="AC9">
        <v>3547</v>
      </c>
      <c r="AD9">
        <v>333.8</v>
      </c>
      <c r="AE9">
        <v>2</v>
      </c>
      <c r="AV9" t="s">
        <v>107</v>
      </c>
      <c r="AW9" t="s">
        <v>94</v>
      </c>
      <c r="AX9" t="s">
        <v>95</v>
      </c>
      <c r="AZ9">
        <v>28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C49D2-1F9F-4B5A-BEDA-D6686B2B871A}">
  <sheetPr codeName="Hoja4">
    <tabColor rgb="FFFF0000"/>
    <pageSetUpPr fitToPage="1"/>
  </sheetPr>
  <dimension ref="A1:BY121"/>
  <sheetViews>
    <sheetView topLeftCell="A77" workbookViewId="0">
      <selection activeCell="AQ97" sqref="AQ97"/>
    </sheetView>
  </sheetViews>
  <sheetFormatPr baseColWidth="10" defaultColWidth="11.28515625" defaultRowHeight="14.25"/>
  <cols>
    <col min="1" max="20" width="3" style="17" customWidth="1"/>
    <col min="21" max="23" width="3.7109375" style="17" customWidth="1"/>
    <col min="24" max="32" width="3" style="17" customWidth="1"/>
    <col min="33" max="33" width="7.42578125" style="17" customWidth="1"/>
    <col min="34" max="34" width="9.28515625" style="17" customWidth="1"/>
    <col min="35" max="42" width="3" style="17" customWidth="1"/>
    <col min="43" max="44" width="12" style="17" customWidth="1"/>
    <col min="45" max="73" width="3" style="17" customWidth="1"/>
    <col min="74" max="74" width="25.85546875" style="17" customWidth="1"/>
    <col min="75" max="75" width="12.140625" style="17" customWidth="1"/>
    <col min="76" max="76" width="3" style="17" customWidth="1"/>
    <col min="77" max="77" width="26.85546875" style="17" customWidth="1"/>
    <col min="78" max="217" width="3" style="17" customWidth="1"/>
    <col min="218" max="221" width="3.28515625" style="17" customWidth="1"/>
    <col min="222" max="16384" width="11.28515625" style="17"/>
  </cols>
  <sheetData>
    <row r="1" spans="1:77" ht="15">
      <c r="A1" s="169" t="s">
        <v>149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I1" s="129" t="s">
        <v>150</v>
      </c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V1" s="18">
        <v>39852</v>
      </c>
      <c r="BW1" s="18" t="s">
        <v>151</v>
      </c>
      <c r="BY1" s="18" t="s">
        <v>152</v>
      </c>
    </row>
    <row r="2" spans="1:77" ht="8.4499999999999993" customHeight="1">
      <c r="BV2" s="18">
        <f>+_xlfn.NUMBERVALUE(BV1)</f>
        <v>39852</v>
      </c>
      <c r="BW2" s="19">
        <f ca="1">+TODAY()</f>
        <v>46118</v>
      </c>
      <c r="BY2" s="18" t="str">
        <f>+TEXT(BY1,"0000000")</f>
        <v>0073365</v>
      </c>
    </row>
    <row r="3" spans="1:77">
      <c r="A3" s="170" t="s">
        <v>153</v>
      </c>
      <c r="B3" s="171"/>
      <c r="C3" s="171"/>
      <c r="D3" s="172" t="str">
        <f ca="1">+BW4</f>
        <v>ID-0074045-2026</v>
      </c>
      <c r="E3" s="173"/>
      <c r="F3" s="173"/>
      <c r="G3" s="173"/>
      <c r="H3" s="173"/>
      <c r="I3" s="20" t="s">
        <v>154</v>
      </c>
      <c r="J3" s="21">
        <v>1</v>
      </c>
      <c r="K3" s="152" t="s">
        <v>155</v>
      </c>
      <c r="L3" s="153"/>
      <c r="M3" s="153"/>
      <c r="N3" s="153"/>
      <c r="O3" s="153"/>
      <c r="P3" s="154"/>
      <c r="Q3" s="173" t="s">
        <v>156</v>
      </c>
      <c r="R3" s="173"/>
      <c r="S3" s="173"/>
      <c r="T3" s="173"/>
      <c r="U3" s="174"/>
      <c r="V3" s="152" t="s">
        <v>157</v>
      </c>
      <c r="W3" s="153"/>
      <c r="X3" s="153"/>
      <c r="Y3" s="153"/>
      <c r="Z3" s="153"/>
      <c r="AA3" s="154"/>
      <c r="AB3" s="144" t="s">
        <v>158</v>
      </c>
      <c r="AC3" s="144"/>
      <c r="AD3" s="144"/>
      <c r="AE3" s="144"/>
      <c r="AF3" s="144"/>
      <c r="AI3" s="170" t="s">
        <v>153</v>
      </c>
      <c r="AJ3" s="171"/>
      <c r="AK3" s="171"/>
      <c r="AL3" s="175" t="s">
        <v>159</v>
      </c>
      <c r="AM3" s="176"/>
      <c r="AN3" s="176"/>
      <c r="AO3" s="176"/>
      <c r="AP3" s="176"/>
      <c r="AQ3" s="20" t="s">
        <v>154</v>
      </c>
      <c r="AR3" s="22">
        <v>1</v>
      </c>
      <c r="AS3" s="152" t="s">
        <v>155</v>
      </c>
      <c r="AT3" s="153"/>
      <c r="AU3" s="153"/>
      <c r="AV3" s="153"/>
      <c r="AW3" s="153"/>
      <c r="AX3" s="154"/>
      <c r="AY3" s="176" t="s">
        <v>160</v>
      </c>
      <c r="AZ3" s="176"/>
      <c r="BA3" s="176"/>
      <c r="BB3" s="176"/>
      <c r="BC3" s="177"/>
      <c r="BD3" s="152" t="s">
        <v>157</v>
      </c>
      <c r="BE3" s="153"/>
      <c r="BF3" s="153"/>
      <c r="BG3" s="153"/>
      <c r="BH3" s="153"/>
      <c r="BI3" s="154"/>
      <c r="BJ3" s="151" t="s">
        <v>158</v>
      </c>
      <c r="BK3" s="151"/>
      <c r="BL3" s="151"/>
      <c r="BM3" s="151"/>
      <c r="BN3" s="151"/>
      <c r="BV3" s="18"/>
      <c r="BW3" s="18">
        <f ca="1">+YEAR(BW2)</f>
        <v>2026</v>
      </c>
      <c r="BY3" s="18" t="s">
        <v>161</v>
      </c>
    </row>
    <row r="4" spans="1:77">
      <c r="A4" s="159" t="s">
        <v>162</v>
      </c>
      <c r="B4" s="159"/>
      <c r="C4" s="159"/>
      <c r="D4" s="160"/>
      <c r="E4" s="160"/>
      <c r="F4" s="160"/>
      <c r="G4" s="161">
        <v>46112</v>
      </c>
      <c r="H4" s="162"/>
      <c r="I4" s="162"/>
      <c r="J4" s="162"/>
      <c r="K4" s="152" t="s">
        <v>163</v>
      </c>
      <c r="L4" s="153"/>
      <c r="M4" s="153"/>
      <c r="N4" s="153"/>
      <c r="O4" s="153"/>
      <c r="P4" s="154"/>
      <c r="Q4" s="149">
        <v>46111</v>
      </c>
      <c r="R4" s="144"/>
      <c r="S4" s="144"/>
      <c r="T4" s="144"/>
      <c r="U4" s="144"/>
      <c r="V4" s="152" t="s">
        <v>164</v>
      </c>
      <c r="W4" s="153"/>
      <c r="X4" s="153"/>
      <c r="Y4" s="153"/>
      <c r="Z4" s="153"/>
      <c r="AA4" s="154"/>
      <c r="AB4" s="149">
        <v>46113</v>
      </c>
      <c r="AC4" s="163"/>
      <c r="AD4" s="163"/>
      <c r="AE4" s="163"/>
      <c r="AF4" s="163"/>
      <c r="AI4" s="117" t="s">
        <v>162</v>
      </c>
      <c r="AJ4" s="117"/>
      <c r="AK4" s="117"/>
      <c r="AL4" s="164"/>
      <c r="AM4" s="164"/>
      <c r="AN4" s="164"/>
      <c r="AO4" s="165" t="s">
        <v>165</v>
      </c>
      <c r="AP4" s="165"/>
      <c r="AQ4" s="165"/>
      <c r="AR4" s="165"/>
      <c r="AS4" s="152" t="s">
        <v>163</v>
      </c>
      <c r="AT4" s="153"/>
      <c r="AU4" s="153"/>
      <c r="AV4" s="153"/>
      <c r="AW4" s="153"/>
      <c r="AX4" s="154"/>
      <c r="AY4" s="151" t="s">
        <v>166</v>
      </c>
      <c r="AZ4" s="151"/>
      <c r="BA4" s="151"/>
      <c r="BB4" s="151"/>
      <c r="BC4" s="151"/>
      <c r="BD4" s="152" t="s">
        <v>164</v>
      </c>
      <c r="BE4" s="153"/>
      <c r="BF4" s="153"/>
      <c r="BG4" s="153"/>
      <c r="BH4" s="153"/>
      <c r="BI4" s="154"/>
      <c r="BJ4" s="151" t="s">
        <v>167</v>
      </c>
      <c r="BK4" s="151"/>
      <c r="BL4" s="151"/>
      <c r="BM4" s="151"/>
      <c r="BN4" s="151"/>
      <c r="BV4" s="18"/>
      <c r="BW4" s="18" t="str">
        <f ca="1">+CONCATENATE("ID-",MID(BW1,5,7),"-",BW3)</f>
        <v>ID-0074045-2026</v>
      </c>
      <c r="BY4" s="18" t="str">
        <f>BY3&amp;BY2</f>
        <v>ECD-0073365</v>
      </c>
    </row>
    <row r="5" spans="1:77">
      <c r="A5" s="166" t="s">
        <v>168</v>
      </c>
      <c r="B5" s="166"/>
      <c r="C5" s="166"/>
      <c r="D5" s="166"/>
      <c r="E5" s="166"/>
      <c r="F5" s="166"/>
      <c r="G5" s="167" t="s">
        <v>169</v>
      </c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I5" s="166" t="s">
        <v>168</v>
      </c>
      <c r="AJ5" s="166"/>
      <c r="AK5" s="166"/>
      <c r="AL5" s="166"/>
      <c r="AM5" s="166"/>
      <c r="AN5" s="166"/>
      <c r="AO5" s="168" t="s">
        <v>170</v>
      </c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68"/>
      <c r="BA5" s="168"/>
      <c r="BB5" s="168"/>
      <c r="BC5" s="168"/>
      <c r="BD5" s="168"/>
      <c r="BE5" s="168"/>
      <c r="BF5" s="168"/>
      <c r="BG5" s="168"/>
      <c r="BH5" s="168"/>
      <c r="BI5" s="168"/>
      <c r="BJ5" s="168"/>
      <c r="BK5" s="168"/>
      <c r="BL5" s="168"/>
      <c r="BM5" s="168"/>
      <c r="BN5" s="168"/>
      <c r="BV5" s="18"/>
      <c r="BW5" s="18" t="str">
        <f ca="1">+CONCATENATE("-",BW3)</f>
        <v>-2026</v>
      </c>
    </row>
    <row r="6" spans="1:77">
      <c r="A6" s="157" t="s">
        <v>171</v>
      </c>
      <c r="B6" s="157"/>
      <c r="C6" s="157"/>
      <c r="D6" s="157"/>
      <c r="E6" s="157"/>
      <c r="F6" s="157"/>
      <c r="G6" s="158" t="s">
        <v>172</v>
      </c>
      <c r="H6" s="158"/>
      <c r="I6" s="158"/>
      <c r="J6" s="158"/>
      <c r="K6" s="158"/>
      <c r="L6" s="158"/>
      <c r="M6" s="158"/>
      <c r="N6" s="158"/>
      <c r="O6" s="155" t="s">
        <v>173</v>
      </c>
      <c r="P6" s="155"/>
      <c r="Q6" s="155"/>
      <c r="R6" s="158" t="s">
        <v>86</v>
      </c>
      <c r="S6" s="158"/>
      <c r="T6" s="158"/>
      <c r="U6" s="155" t="s">
        <v>174</v>
      </c>
      <c r="V6" s="155"/>
      <c r="W6" s="155"/>
      <c r="X6" s="158" t="s">
        <v>86</v>
      </c>
      <c r="Y6" s="158"/>
      <c r="Z6" s="158"/>
      <c r="AA6" s="155" t="s">
        <v>175</v>
      </c>
      <c r="AB6" s="155"/>
      <c r="AC6" s="155"/>
      <c r="AD6" s="158" t="s">
        <v>87</v>
      </c>
      <c r="AE6" s="158"/>
      <c r="AF6" s="158"/>
      <c r="AI6" s="157" t="s">
        <v>171</v>
      </c>
      <c r="AJ6" s="157"/>
      <c r="AK6" s="157"/>
      <c r="AL6" s="157"/>
      <c r="AM6" s="157"/>
      <c r="AN6" s="157"/>
      <c r="AO6" s="156" t="s">
        <v>176</v>
      </c>
      <c r="AP6" s="156"/>
      <c r="AQ6" s="156"/>
      <c r="AR6" s="156"/>
      <c r="AS6" s="156"/>
      <c r="AT6" s="156"/>
      <c r="AU6" s="156"/>
      <c r="AV6" s="156"/>
      <c r="AW6" s="155" t="s">
        <v>173</v>
      </c>
      <c r="AX6" s="155"/>
      <c r="AY6" s="155"/>
      <c r="AZ6" s="156" t="s">
        <v>177</v>
      </c>
      <c r="BA6" s="156"/>
      <c r="BB6" s="156"/>
      <c r="BC6" s="155" t="s">
        <v>174</v>
      </c>
      <c r="BD6" s="155"/>
      <c r="BE6" s="155"/>
      <c r="BF6" s="156" t="s">
        <v>178</v>
      </c>
      <c r="BG6" s="156"/>
      <c r="BH6" s="156"/>
      <c r="BI6" s="155" t="s">
        <v>175</v>
      </c>
      <c r="BJ6" s="155"/>
      <c r="BK6" s="155"/>
      <c r="BL6" s="156" t="s">
        <v>179</v>
      </c>
      <c r="BM6" s="156"/>
      <c r="BN6" s="156"/>
      <c r="BV6" s="18"/>
      <c r="BW6" s="18"/>
    </row>
    <row r="7" spans="1:77">
      <c r="A7" s="157" t="s">
        <v>180</v>
      </c>
      <c r="B7" s="157"/>
      <c r="C7" s="157"/>
      <c r="D7" s="157"/>
      <c r="E7" s="157"/>
      <c r="F7" s="157"/>
      <c r="G7" s="158" t="s">
        <v>181</v>
      </c>
      <c r="H7" s="158"/>
      <c r="I7" s="158"/>
      <c r="J7" s="158"/>
      <c r="K7" s="155" t="s">
        <v>182</v>
      </c>
      <c r="L7" s="155"/>
      <c r="M7" s="155"/>
      <c r="N7" s="137" t="s">
        <v>183</v>
      </c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37"/>
      <c r="AE7" s="137"/>
      <c r="AF7" s="137"/>
      <c r="AI7" s="157" t="s">
        <v>180</v>
      </c>
      <c r="AJ7" s="157"/>
      <c r="AK7" s="157"/>
      <c r="AL7" s="157"/>
      <c r="AM7" s="157"/>
      <c r="AN7" s="157"/>
      <c r="AO7" s="156" t="s">
        <v>154</v>
      </c>
      <c r="AP7" s="156"/>
      <c r="AQ7" s="156"/>
      <c r="AR7" s="156"/>
      <c r="AS7" s="155" t="s">
        <v>182</v>
      </c>
      <c r="AT7" s="155"/>
      <c r="AU7" s="155"/>
      <c r="AV7" s="156" t="s">
        <v>184</v>
      </c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6"/>
      <c r="BL7" s="156"/>
      <c r="BM7" s="156"/>
      <c r="BN7" s="156"/>
    </row>
    <row r="8" spans="1:77">
      <c r="A8" s="157" t="s">
        <v>185</v>
      </c>
      <c r="B8" s="157"/>
      <c r="C8" s="157"/>
      <c r="D8" s="157"/>
      <c r="E8" s="157"/>
      <c r="F8" s="157"/>
      <c r="G8" s="158" t="s">
        <v>186</v>
      </c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AD8" s="158"/>
      <c r="AE8" s="158"/>
      <c r="AF8" s="158"/>
      <c r="AI8" s="157" t="s">
        <v>185</v>
      </c>
      <c r="AJ8" s="157"/>
      <c r="AK8" s="157"/>
      <c r="AL8" s="157"/>
      <c r="AM8" s="157"/>
      <c r="AN8" s="157"/>
      <c r="AO8" s="156" t="s">
        <v>187</v>
      </c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56"/>
      <c r="BC8" s="156"/>
      <c r="BD8" s="156"/>
      <c r="BE8" s="156"/>
      <c r="BF8" s="156"/>
      <c r="BG8" s="156"/>
      <c r="BH8" s="156"/>
      <c r="BI8" s="156"/>
      <c r="BJ8" s="156"/>
      <c r="BK8" s="156"/>
      <c r="BL8" s="156"/>
      <c r="BM8" s="156"/>
      <c r="BN8" s="156"/>
    </row>
    <row r="9" spans="1:77">
      <c r="A9" s="17">
        <v>1</v>
      </c>
      <c r="B9" s="17">
        <v>2</v>
      </c>
      <c r="C9" s="17">
        <v>3</v>
      </c>
      <c r="D9" s="17">
        <v>4</v>
      </c>
      <c r="E9" s="17">
        <v>5</v>
      </c>
      <c r="F9" s="17">
        <v>6</v>
      </c>
      <c r="G9" s="17">
        <v>7</v>
      </c>
      <c r="H9" s="17">
        <v>8</v>
      </c>
      <c r="I9" s="17">
        <v>9</v>
      </c>
      <c r="J9" s="17">
        <v>10</v>
      </c>
      <c r="K9" s="17">
        <v>11</v>
      </c>
      <c r="L9" s="17">
        <v>12</v>
      </c>
      <c r="M9" s="17">
        <v>13</v>
      </c>
      <c r="N9" s="17">
        <v>14</v>
      </c>
      <c r="O9" s="17">
        <v>15</v>
      </c>
      <c r="P9" s="17">
        <v>16</v>
      </c>
      <c r="Q9" s="17">
        <v>17</v>
      </c>
      <c r="R9" s="17">
        <v>18</v>
      </c>
      <c r="S9" s="17">
        <v>19</v>
      </c>
      <c r="T9" s="17">
        <v>20</v>
      </c>
      <c r="U9" s="17">
        <v>21</v>
      </c>
      <c r="V9" s="17">
        <v>22</v>
      </c>
      <c r="W9" s="17">
        <v>23</v>
      </c>
      <c r="X9" s="17">
        <v>24</v>
      </c>
      <c r="Y9" s="17">
        <v>25</v>
      </c>
      <c r="Z9" s="17">
        <v>26</v>
      </c>
      <c r="AA9" s="17">
        <v>27</v>
      </c>
      <c r="AB9" s="17">
        <v>28</v>
      </c>
      <c r="AC9" s="17">
        <v>29</v>
      </c>
      <c r="AD9" s="17">
        <v>30</v>
      </c>
      <c r="AE9" s="17">
        <v>31</v>
      </c>
      <c r="AF9" s="17">
        <v>32</v>
      </c>
      <c r="AG9" s="17">
        <v>33</v>
      </c>
      <c r="AH9" s="17">
        <v>34</v>
      </c>
      <c r="AI9" s="17">
        <v>35</v>
      </c>
      <c r="AJ9" s="17">
        <v>36</v>
      </c>
      <c r="AK9" s="17">
        <v>37</v>
      </c>
      <c r="AL9" s="17">
        <v>38</v>
      </c>
      <c r="AM9" s="17">
        <v>39</v>
      </c>
      <c r="AN9" s="17">
        <v>40</v>
      </c>
      <c r="AO9" s="17">
        <v>41</v>
      </c>
      <c r="AP9" s="17">
        <v>42</v>
      </c>
      <c r="AQ9" s="17">
        <v>43</v>
      </c>
      <c r="AR9" s="17">
        <v>44</v>
      </c>
      <c r="AS9" s="17">
        <v>45</v>
      </c>
      <c r="AT9" s="17">
        <v>46</v>
      </c>
      <c r="AU9" s="17">
        <v>47</v>
      </c>
      <c r="AV9" s="17">
        <v>48</v>
      </c>
      <c r="AW9" s="17">
        <v>49</v>
      </c>
      <c r="AX9" s="17">
        <v>50</v>
      </c>
      <c r="AY9" s="17">
        <v>51</v>
      </c>
      <c r="AZ9" s="17">
        <v>52</v>
      </c>
      <c r="BA9" s="17">
        <v>53</v>
      </c>
      <c r="BB9" s="17">
        <v>54</v>
      </c>
      <c r="BC9" s="17">
        <v>55</v>
      </c>
      <c r="BD9" s="17">
        <v>56</v>
      </c>
      <c r="BE9" s="17">
        <v>57</v>
      </c>
      <c r="BF9" s="17">
        <v>58</v>
      </c>
      <c r="BG9" s="17">
        <v>59</v>
      </c>
      <c r="BH9" s="17">
        <v>60</v>
      </c>
      <c r="BI9" s="17">
        <v>61</v>
      </c>
      <c r="BJ9" s="17">
        <v>62</v>
      </c>
      <c r="BK9" s="17">
        <v>63</v>
      </c>
      <c r="BL9" s="17">
        <v>64</v>
      </c>
      <c r="BM9" s="17">
        <v>65</v>
      </c>
      <c r="BN9" s="17">
        <v>66</v>
      </c>
      <c r="BO9" s="17">
        <v>67</v>
      </c>
      <c r="BP9" s="17">
        <v>68</v>
      </c>
      <c r="BQ9" s="17">
        <v>69</v>
      </c>
      <c r="BR9" s="17">
        <v>70</v>
      </c>
      <c r="BS9" s="17">
        <v>71</v>
      </c>
      <c r="BT9" s="17">
        <v>72</v>
      </c>
      <c r="BU9" s="17">
        <v>73</v>
      </c>
      <c r="BV9" s="17">
        <v>74</v>
      </c>
      <c r="BW9" s="17">
        <v>75</v>
      </c>
      <c r="BX9" s="17">
        <v>76</v>
      </c>
      <c r="BY9" s="17">
        <v>77</v>
      </c>
    </row>
    <row r="10" spans="1:77" ht="21.6" customHeight="1">
      <c r="B10" s="138" t="s">
        <v>188</v>
      </c>
      <c r="C10" s="139"/>
      <c r="D10" s="139"/>
      <c r="E10" s="139"/>
      <c r="F10" s="149">
        <v>46105</v>
      </c>
      <c r="G10" s="149"/>
      <c r="H10" s="149"/>
      <c r="I10" s="23"/>
      <c r="J10" s="150" t="s">
        <v>189</v>
      </c>
      <c r="K10" s="150"/>
      <c r="L10" s="150"/>
      <c r="M10" s="150"/>
      <c r="N10" s="150"/>
      <c r="O10" s="136">
        <v>34.47</v>
      </c>
      <c r="P10" s="136"/>
      <c r="Q10" s="23"/>
      <c r="R10" s="23"/>
      <c r="S10" s="23"/>
      <c r="T10" s="23"/>
      <c r="U10" s="23"/>
      <c r="V10" s="8" t="s">
        <v>94</v>
      </c>
      <c r="W10" s="23"/>
      <c r="X10" s="23"/>
      <c r="Y10" s="23"/>
      <c r="Z10" s="23"/>
      <c r="AA10" s="23"/>
      <c r="AB10" s="23"/>
      <c r="AC10" s="23"/>
      <c r="AD10" s="23"/>
      <c r="AE10" s="23"/>
    </row>
    <row r="11" spans="1:77" ht="9.6" customHeight="1">
      <c r="B11" s="24"/>
      <c r="C11" s="24"/>
      <c r="D11" s="24"/>
      <c r="E11" s="24"/>
      <c r="F11" s="24"/>
      <c r="G11" s="24"/>
      <c r="H11" s="25"/>
      <c r="I11" s="25"/>
      <c r="J11" s="25"/>
      <c r="K11" s="23"/>
      <c r="L11" s="25"/>
      <c r="M11" s="25"/>
      <c r="N11" s="25"/>
      <c r="O11" s="25"/>
      <c r="P11" s="25"/>
      <c r="Q11" s="25"/>
      <c r="R11" s="26"/>
      <c r="S11" s="26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</row>
    <row r="12" spans="1:77" ht="21.6" customHeight="1">
      <c r="B12" s="138" t="s">
        <v>190</v>
      </c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40"/>
      <c r="N12" s="117" t="s">
        <v>191</v>
      </c>
      <c r="O12" s="117"/>
      <c r="P12" s="117"/>
      <c r="Q12" s="144" t="s">
        <v>192</v>
      </c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</row>
    <row r="13" spans="1:77" ht="31.9" customHeight="1">
      <c r="B13" s="145" t="s">
        <v>193</v>
      </c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7"/>
      <c r="N13" s="117" t="str">
        <f>+Q12</f>
        <v>E8-234</v>
      </c>
      <c r="O13" s="117"/>
      <c r="P13" s="117"/>
      <c r="Q13" s="148" t="s">
        <v>194</v>
      </c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I13" s="143" t="s">
        <v>195</v>
      </c>
      <c r="AJ13" s="143"/>
      <c r="AK13" s="143"/>
      <c r="AL13" s="143" t="s">
        <v>196</v>
      </c>
      <c r="AM13" s="143"/>
      <c r="AN13" s="143"/>
      <c r="AT13" s="23"/>
    </row>
    <row r="14" spans="1:77" ht="21.6" customHeight="1">
      <c r="B14" s="138" t="s">
        <v>197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40"/>
      <c r="N14" s="117" t="s">
        <v>154</v>
      </c>
      <c r="O14" s="117"/>
      <c r="P14" s="117"/>
      <c r="Q14" s="141" t="str">
        <f>+VLOOKUP(V10,AZ17:BA24,2,FALSE)</f>
        <v>Cilindro de concreto</v>
      </c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  <c r="AI14" s="142">
        <v>3000</v>
      </c>
      <c r="AJ14" s="142"/>
      <c r="AK14" s="142"/>
      <c r="AL14" s="143">
        <f>AI14*0.00689476</f>
        <v>20.684280000000001</v>
      </c>
      <c r="AM14" s="143"/>
      <c r="AN14" s="143"/>
    </row>
    <row r="15" spans="1:77" ht="9.6" customHeight="1" thickBot="1"/>
    <row r="16" spans="1:77">
      <c r="B16" s="113" t="s">
        <v>198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5"/>
      <c r="AH16" s="17" t="s">
        <v>199</v>
      </c>
      <c r="AN16" s="17" t="s">
        <v>200</v>
      </c>
    </row>
    <row r="17" spans="2:62" ht="15">
      <c r="B17" s="123" t="s">
        <v>201</v>
      </c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5"/>
      <c r="N17" s="117" t="s">
        <v>202</v>
      </c>
      <c r="O17" s="117"/>
      <c r="P17" s="117"/>
      <c r="Q17" s="133">
        <v>200</v>
      </c>
      <c r="R17" s="133"/>
      <c r="S17" s="133"/>
      <c r="T17" s="133"/>
      <c r="U17" s="133"/>
      <c r="V17" s="133">
        <v>200</v>
      </c>
      <c r="W17" s="133"/>
      <c r="X17" s="133"/>
      <c r="Y17" s="133"/>
      <c r="Z17" s="133"/>
      <c r="AA17" s="136">
        <v>200</v>
      </c>
      <c r="AB17" s="136"/>
      <c r="AC17" s="136"/>
      <c r="AD17" s="136"/>
      <c r="AE17" s="136"/>
      <c r="AH17" s="23" t="s">
        <v>203</v>
      </c>
      <c r="AI17" s="23"/>
      <c r="AJ17" s="23"/>
      <c r="AK17" s="23"/>
      <c r="AL17" s="23"/>
      <c r="AM17" s="23"/>
      <c r="AN17" s="23">
        <v>1</v>
      </c>
      <c r="AO17" s="23"/>
      <c r="AP17" s="23"/>
      <c r="AQ17" s="23"/>
      <c r="AR17" s="23"/>
      <c r="AS17" s="23"/>
      <c r="AZ17" s="17" t="s">
        <v>94</v>
      </c>
      <c r="BA17" s="17" t="s">
        <v>204</v>
      </c>
    </row>
    <row r="18" spans="2:62" ht="15">
      <c r="B18" s="130"/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M18" s="132"/>
      <c r="N18" s="117" t="s">
        <v>202</v>
      </c>
      <c r="O18" s="117"/>
      <c r="P18" s="117"/>
      <c r="Q18" s="133">
        <v>200</v>
      </c>
      <c r="R18" s="133"/>
      <c r="S18" s="133"/>
      <c r="T18" s="133"/>
      <c r="U18" s="133"/>
      <c r="V18" s="133">
        <v>201</v>
      </c>
      <c r="W18" s="133"/>
      <c r="X18" s="133"/>
      <c r="Y18" s="133"/>
      <c r="Z18" s="133"/>
      <c r="AA18" s="136">
        <v>200</v>
      </c>
      <c r="AB18" s="136"/>
      <c r="AC18" s="136"/>
      <c r="AD18" s="136"/>
      <c r="AE18" s="136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Z18" s="17" t="s">
        <v>205</v>
      </c>
      <c r="BA18" s="17" t="s">
        <v>206</v>
      </c>
    </row>
    <row r="19" spans="2:62" ht="15">
      <c r="B19" s="126"/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8"/>
      <c r="N19" s="117" t="s">
        <v>202</v>
      </c>
      <c r="O19" s="117"/>
      <c r="P19" s="117"/>
      <c r="Q19" s="133">
        <v>201</v>
      </c>
      <c r="R19" s="133"/>
      <c r="S19" s="133"/>
      <c r="T19" s="133"/>
      <c r="U19" s="133"/>
      <c r="V19" s="133">
        <v>201</v>
      </c>
      <c r="W19" s="133"/>
      <c r="X19" s="133"/>
      <c r="Y19" s="133"/>
      <c r="Z19" s="133"/>
      <c r="AA19" s="136">
        <v>201</v>
      </c>
      <c r="AB19" s="136"/>
      <c r="AC19" s="136"/>
      <c r="AD19" s="136"/>
      <c r="AE19" s="136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Z19" s="17" t="s">
        <v>207</v>
      </c>
      <c r="BA19" s="17" t="s">
        <v>208</v>
      </c>
    </row>
    <row r="20" spans="2:62" ht="15">
      <c r="B20" s="123" t="s">
        <v>273</v>
      </c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5"/>
      <c r="N20" s="117" t="s">
        <v>202</v>
      </c>
      <c r="O20" s="117"/>
      <c r="P20" s="117"/>
      <c r="Q20" s="118">
        <v>100</v>
      </c>
      <c r="R20" s="118"/>
      <c r="S20" s="118"/>
      <c r="T20" s="118"/>
      <c r="U20" s="118"/>
      <c r="V20" s="118">
        <v>101</v>
      </c>
      <c r="W20" s="118"/>
      <c r="X20" s="118"/>
      <c r="Y20" s="118"/>
      <c r="Z20" s="118"/>
      <c r="AA20" s="137">
        <v>101</v>
      </c>
      <c r="AB20" s="137"/>
      <c r="AC20" s="137"/>
      <c r="AD20" s="137"/>
      <c r="AE20" s="137"/>
      <c r="AH20" s="23" t="s">
        <v>209</v>
      </c>
      <c r="AI20" s="23"/>
      <c r="AJ20" s="23"/>
      <c r="AK20" s="23"/>
      <c r="AL20" s="23"/>
      <c r="AM20" s="23"/>
      <c r="AN20" s="23">
        <v>2</v>
      </c>
      <c r="AO20" s="23"/>
      <c r="AP20" s="23"/>
      <c r="AQ20" s="23"/>
      <c r="AR20" s="23"/>
      <c r="AS20" s="23"/>
      <c r="AZ20" s="17" t="s">
        <v>210</v>
      </c>
      <c r="BA20" s="17" t="s">
        <v>211</v>
      </c>
    </row>
    <row r="21" spans="2:62" ht="15">
      <c r="B21" s="126"/>
      <c r="C21" s="127"/>
      <c r="D21" s="127"/>
      <c r="E21" s="127"/>
      <c r="F21" s="127"/>
      <c r="G21" s="127"/>
      <c r="H21" s="127"/>
      <c r="I21" s="127"/>
      <c r="J21" s="127"/>
      <c r="K21" s="127"/>
      <c r="L21" s="127"/>
      <c r="M21" s="128"/>
      <c r="N21" s="117" t="s">
        <v>202</v>
      </c>
      <c r="O21" s="117"/>
      <c r="P21" s="117"/>
      <c r="Q21" s="118">
        <v>101</v>
      </c>
      <c r="R21" s="118"/>
      <c r="S21" s="118"/>
      <c r="T21" s="118"/>
      <c r="U21" s="118"/>
      <c r="V21" s="118">
        <v>101</v>
      </c>
      <c r="W21" s="118"/>
      <c r="X21" s="118"/>
      <c r="Y21" s="118"/>
      <c r="Z21" s="118"/>
      <c r="AA21" s="137">
        <v>100</v>
      </c>
      <c r="AB21" s="137"/>
      <c r="AC21" s="137"/>
      <c r="AD21" s="137"/>
      <c r="AE21" s="137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Z21" s="17" t="s">
        <v>212</v>
      </c>
      <c r="BA21" s="17" t="s">
        <v>213</v>
      </c>
    </row>
    <row r="22" spans="2:62" ht="15">
      <c r="B22" s="121" t="s">
        <v>214</v>
      </c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17" t="s">
        <v>215</v>
      </c>
      <c r="O22" s="117"/>
      <c r="P22" s="117"/>
      <c r="Q22" s="133">
        <v>3887</v>
      </c>
      <c r="R22" s="133"/>
      <c r="S22" s="133"/>
      <c r="T22" s="133"/>
      <c r="U22" s="133"/>
      <c r="V22" s="133">
        <v>3937</v>
      </c>
      <c r="W22" s="133"/>
      <c r="X22" s="133"/>
      <c r="Y22" s="133"/>
      <c r="Z22" s="133"/>
      <c r="AA22" s="133">
        <v>3855</v>
      </c>
      <c r="AB22" s="133"/>
      <c r="AC22" s="133"/>
      <c r="AD22" s="133"/>
      <c r="AE22" s="133"/>
      <c r="AH22" s="23" t="s">
        <v>216</v>
      </c>
      <c r="AI22" s="23"/>
      <c r="AJ22" s="23"/>
      <c r="AK22" s="23"/>
      <c r="AL22" s="23"/>
      <c r="AM22" s="23"/>
      <c r="AN22" s="23">
        <v>3</v>
      </c>
      <c r="AO22" s="23"/>
      <c r="AP22" s="23"/>
      <c r="AQ22" s="23"/>
      <c r="AR22" s="23"/>
      <c r="AS22" s="23"/>
      <c r="AZ22" s="17" t="s">
        <v>217</v>
      </c>
      <c r="BA22" s="17" t="s">
        <v>218</v>
      </c>
    </row>
    <row r="23" spans="2:62" ht="15.75" thickBot="1">
      <c r="AH23" s="23" t="s">
        <v>219</v>
      </c>
      <c r="AI23" s="23"/>
      <c r="AJ23" s="23"/>
      <c r="AK23" s="23"/>
      <c r="AL23" s="23"/>
      <c r="AM23" s="23"/>
      <c r="AN23" s="23">
        <v>4</v>
      </c>
      <c r="AO23" s="23"/>
      <c r="AP23" s="23"/>
      <c r="AQ23" s="23"/>
      <c r="AR23" s="23"/>
      <c r="AS23" s="23"/>
      <c r="AZ23" s="17" t="s">
        <v>215</v>
      </c>
      <c r="BA23" s="17" t="s">
        <v>220</v>
      </c>
    </row>
    <row r="24" spans="2:62" ht="15">
      <c r="B24" s="113" t="s">
        <v>221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  <c r="AC24" s="114"/>
      <c r="AD24" s="114"/>
      <c r="AE24" s="115"/>
      <c r="AH24" s="23"/>
      <c r="AI24" s="23"/>
      <c r="AJ24" s="23"/>
      <c r="AK24" s="23"/>
      <c r="AL24" s="23"/>
      <c r="AM24" s="23"/>
      <c r="AN24" s="23">
        <v>5</v>
      </c>
      <c r="AO24" s="23"/>
      <c r="AP24" s="23"/>
      <c r="AQ24" s="23"/>
      <c r="AR24" s="23"/>
      <c r="AS24" s="23"/>
      <c r="AZ24" s="17" t="s">
        <v>222</v>
      </c>
      <c r="BA24" s="17" t="s">
        <v>223</v>
      </c>
    </row>
    <row r="25" spans="2:62">
      <c r="B25" s="116" t="s">
        <v>224</v>
      </c>
      <c r="C25" s="116"/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7" t="s">
        <v>225</v>
      </c>
      <c r="O25" s="117"/>
      <c r="P25" s="117"/>
      <c r="Q25" s="136">
        <v>289.5</v>
      </c>
      <c r="R25" s="136"/>
      <c r="S25" s="136"/>
      <c r="T25" s="136"/>
      <c r="U25" s="136"/>
      <c r="V25" s="136">
        <v>303.89999999999998</v>
      </c>
      <c r="W25" s="136"/>
      <c r="X25" s="136"/>
      <c r="Y25" s="136"/>
      <c r="Z25" s="136"/>
      <c r="AA25" s="136">
        <v>283.39999999999998</v>
      </c>
      <c r="AB25" s="136"/>
      <c r="AC25" s="136"/>
      <c r="AD25" s="136"/>
      <c r="AE25" s="136"/>
    </row>
    <row r="26" spans="2:62">
      <c r="B26" s="122" t="s">
        <v>226</v>
      </c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17" t="s">
        <v>154</v>
      </c>
      <c r="O26" s="117"/>
      <c r="P26" s="117"/>
      <c r="Q26" s="133">
        <v>2</v>
      </c>
      <c r="R26" s="133"/>
      <c r="S26" s="133"/>
      <c r="T26" s="133"/>
      <c r="U26" s="133"/>
      <c r="V26" s="133">
        <v>3</v>
      </c>
      <c r="W26" s="133"/>
      <c r="X26" s="133"/>
      <c r="Y26" s="133"/>
      <c r="Z26" s="133"/>
      <c r="AA26" s="133">
        <v>3</v>
      </c>
      <c r="AB26" s="133"/>
      <c r="AC26" s="133"/>
      <c r="AD26" s="133"/>
      <c r="AE26" s="133"/>
      <c r="AH26" s="17">
        <f>+COUNT(AN17:AN24)</f>
        <v>5</v>
      </c>
    </row>
    <row r="28" spans="2:62" ht="15">
      <c r="B28" s="27" t="s">
        <v>227</v>
      </c>
      <c r="C28" s="23"/>
      <c r="D28" s="28"/>
      <c r="E28" s="28"/>
      <c r="F28" s="28"/>
      <c r="G28" s="134" t="s">
        <v>95</v>
      </c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  <c r="AC28" s="134"/>
      <c r="AD28" s="134"/>
      <c r="AE28" s="134"/>
    </row>
    <row r="29" spans="2:62"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35"/>
    </row>
    <row r="32" spans="2:62" ht="15.75" thickBot="1">
      <c r="H32" s="129"/>
      <c r="I32" s="129"/>
      <c r="J32" s="129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2:62" ht="15">
      <c r="B33" s="113" t="s">
        <v>198</v>
      </c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  <c r="AD33" s="114"/>
      <c r="AE33" s="115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2:62">
      <c r="B34" s="123" t="s">
        <v>201</v>
      </c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5"/>
      <c r="N34" s="117" t="s">
        <v>202</v>
      </c>
      <c r="O34" s="117"/>
      <c r="P34" s="117"/>
      <c r="Q34" s="118">
        <f t="shared" ref="Q34:Q39" si="0">+_xlfn.NUMBERVALUE(Q17)</f>
        <v>200</v>
      </c>
      <c r="R34" s="118"/>
      <c r="S34" s="118"/>
      <c r="T34" s="118"/>
      <c r="U34" s="118"/>
      <c r="V34" s="118">
        <f t="shared" ref="V34:V39" si="1">+_xlfn.NUMBERVALUE(V17)</f>
        <v>200</v>
      </c>
      <c r="W34" s="118"/>
      <c r="X34" s="118"/>
      <c r="Y34" s="118"/>
      <c r="Z34" s="118"/>
      <c r="AA34" s="118">
        <f t="shared" ref="AA34:AA39" si="2">+_xlfn.NUMBERVALUE(AA17)</f>
        <v>200</v>
      </c>
      <c r="AB34" s="118"/>
      <c r="AC34" s="118"/>
      <c r="AD34" s="118"/>
      <c r="AE34" s="118"/>
    </row>
    <row r="35" spans="2:62">
      <c r="B35" s="130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2"/>
      <c r="N35" s="117" t="s">
        <v>202</v>
      </c>
      <c r="O35" s="117"/>
      <c r="P35" s="117"/>
      <c r="Q35" s="118">
        <f t="shared" si="0"/>
        <v>200</v>
      </c>
      <c r="R35" s="118"/>
      <c r="S35" s="118"/>
      <c r="T35" s="118"/>
      <c r="U35" s="118"/>
      <c r="V35" s="118">
        <f t="shared" si="1"/>
        <v>201</v>
      </c>
      <c r="W35" s="118"/>
      <c r="X35" s="118"/>
      <c r="Y35" s="118"/>
      <c r="Z35" s="118"/>
      <c r="AA35" s="118">
        <f t="shared" si="2"/>
        <v>200</v>
      </c>
      <c r="AB35" s="118"/>
      <c r="AC35" s="118"/>
      <c r="AD35" s="118"/>
      <c r="AE35" s="118"/>
    </row>
    <row r="36" spans="2:62">
      <c r="B36" s="126"/>
      <c r="C36" s="127"/>
      <c r="D36" s="127"/>
      <c r="E36" s="127"/>
      <c r="F36" s="127"/>
      <c r="G36" s="127"/>
      <c r="H36" s="127"/>
      <c r="I36" s="127"/>
      <c r="J36" s="127"/>
      <c r="K36" s="127"/>
      <c r="L36" s="127"/>
      <c r="M36" s="128"/>
      <c r="N36" s="117" t="s">
        <v>202</v>
      </c>
      <c r="O36" s="117"/>
      <c r="P36" s="117"/>
      <c r="Q36" s="118">
        <f t="shared" si="0"/>
        <v>201</v>
      </c>
      <c r="R36" s="118"/>
      <c r="S36" s="118"/>
      <c r="T36" s="118"/>
      <c r="U36" s="118"/>
      <c r="V36" s="118">
        <f t="shared" si="1"/>
        <v>201</v>
      </c>
      <c r="W36" s="118"/>
      <c r="X36" s="118"/>
      <c r="Y36" s="118"/>
      <c r="Z36" s="118"/>
      <c r="AA36" s="118">
        <f t="shared" si="2"/>
        <v>201</v>
      </c>
      <c r="AB36" s="118"/>
      <c r="AC36" s="118"/>
      <c r="AD36" s="118"/>
      <c r="AE36" s="118"/>
    </row>
    <row r="37" spans="2:62">
      <c r="B37" s="123" t="s">
        <v>273</v>
      </c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5"/>
      <c r="N37" s="117" t="s">
        <v>202</v>
      </c>
      <c r="O37" s="117"/>
      <c r="P37" s="117"/>
      <c r="Q37" s="118">
        <f t="shared" si="0"/>
        <v>100</v>
      </c>
      <c r="R37" s="118"/>
      <c r="S37" s="118"/>
      <c r="T37" s="118"/>
      <c r="U37" s="118"/>
      <c r="V37" s="118">
        <f t="shared" si="1"/>
        <v>101</v>
      </c>
      <c r="W37" s="118"/>
      <c r="X37" s="118"/>
      <c r="Y37" s="118"/>
      <c r="Z37" s="118"/>
      <c r="AA37" s="118">
        <f t="shared" si="2"/>
        <v>101</v>
      </c>
      <c r="AB37" s="118"/>
      <c r="AC37" s="118"/>
      <c r="AD37" s="118"/>
      <c r="AE37" s="118"/>
    </row>
    <row r="38" spans="2:62">
      <c r="B38" s="126"/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8"/>
      <c r="N38" s="117" t="s">
        <v>202</v>
      </c>
      <c r="O38" s="117"/>
      <c r="P38" s="117"/>
      <c r="Q38" s="118">
        <f t="shared" si="0"/>
        <v>101</v>
      </c>
      <c r="R38" s="118"/>
      <c r="S38" s="118"/>
      <c r="T38" s="118"/>
      <c r="U38" s="118"/>
      <c r="V38" s="118">
        <f t="shared" si="1"/>
        <v>101</v>
      </c>
      <c r="W38" s="118"/>
      <c r="X38" s="118"/>
      <c r="Y38" s="118"/>
      <c r="Z38" s="118"/>
      <c r="AA38" s="118">
        <f t="shared" si="2"/>
        <v>100</v>
      </c>
      <c r="AB38" s="118"/>
      <c r="AC38" s="118"/>
      <c r="AD38" s="118"/>
      <c r="AE38" s="118"/>
    </row>
    <row r="39" spans="2:62">
      <c r="B39" s="121" t="s">
        <v>214</v>
      </c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17" t="s">
        <v>215</v>
      </c>
      <c r="O39" s="117"/>
      <c r="P39" s="117"/>
      <c r="Q39" s="118">
        <f t="shared" si="0"/>
        <v>3887</v>
      </c>
      <c r="R39" s="118"/>
      <c r="S39" s="118"/>
      <c r="T39" s="118"/>
      <c r="U39" s="118"/>
      <c r="V39" s="118">
        <f t="shared" si="1"/>
        <v>3937</v>
      </c>
      <c r="W39" s="118"/>
      <c r="X39" s="118"/>
      <c r="Y39" s="118"/>
      <c r="Z39" s="118"/>
      <c r="AA39" s="118">
        <f t="shared" si="2"/>
        <v>3855</v>
      </c>
      <c r="AB39" s="118"/>
      <c r="AC39" s="118"/>
      <c r="AD39" s="118"/>
      <c r="AE39" s="118"/>
    </row>
    <row r="40" spans="2:62" ht="15" thickBot="1"/>
    <row r="41" spans="2:62">
      <c r="B41" s="113" t="s">
        <v>221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  <c r="AD41" s="114"/>
      <c r="AE41" s="115"/>
    </row>
    <row r="42" spans="2:62">
      <c r="B42" s="116" t="s">
        <v>224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7" t="s">
        <v>225</v>
      </c>
      <c r="O42" s="117"/>
      <c r="P42" s="117"/>
      <c r="Q42" s="118">
        <f>+_xlfn.NUMBERVALUE(Q25)</f>
        <v>289.5</v>
      </c>
      <c r="R42" s="118"/>
      <c r="S42" s="118"/>
      <c r="T42" s="118"/>
      <c r="U42" s="118"/>
      <c r="V42" s="118">
        <f>+_xlfn.NUMBERVALUE(V25)</f>
        <v>303.89999999999998</v>
      </c>
      <c r="W42" s="118"/>
      <c r="X42" s="118"/>
      <c r="Y42" s="118"/>
      <c r="Z42" s="118"/>
      <c r="AA42" s="118">
        <f>+_xlfn.NUMBERVALUE(AA25)</f>
        <v>283.39999999999998</v>
      </c>
      <c r="AB42" s="118"/>
      <c r="AC42" s="118"/>
      <c r="AD42" s="118"/>
      <c r="AE42" s="118"/>
      <c r="AQ42" s="17" t="s">
        <v>228</v>
      </c>
    </row>
    <row r="43" spans="2:62">
      <c r="B43" s="122" t="s">
        <v>226</v>
      </c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17" t="s">
        <v>154</v>
      </c>
      <c r="O43" s="117"/>
      <c r="P43" s="117"/>
      <c r="Q43" s="118">
        <f>+_xlfn.NUMBERVALUE(Q26)</f>
        <v>2</v>
      </c>
      <c r="R43" s="118"/>
      <c r="S43" s="118"/>
      <c r="T43" s="118"/>
      <c r="U43" s="118"/>
      <c r="V43" s="118">
        <f>+_xlfn.NUMBERVALUE(V26)</f>
        <v>3</v>
      </c>
      <c r="W43" s="118"/>
      <c r="X43" s="118"/>
      <c r="Y43" s="118"/>
      <c r="Z43" s="118"/>
      <c r="AA43" s="118">
        <f>+_xlfn.NUMBERVALUE(AA26)</f>
        <v>3</v>
      </c>
      <c r="AB43" s="118"/>
      <c r="AC43" s="118"/>
      <c r="AD43" s="118"/>
      <c r="AE43" s="118"/>
      <c r="AQ43" s="29">
        <v>0.5</v>
      </c>
    </row>
    <row r="44" spans="2:62">
      <c r="AQ44" s="29">
        <v>1</v>
      </c>
      <c r="AR44" s="29">
        <v>0.87</v>
      </c>
    </row>
    <row r="45" spans="2:62">
      <c r="B45" s="30" t="s">
        <v>229</v>
      </c>
      <c r="C45" s="31"/>
      <c r="D45" s="31"/>
      <c r="E45" s="31"/>
      <c r="F45" s="31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Q45" s="29">
        <v>1.25</v>
      </c>
      <c r="AR45" s="29">
        <v>0.93</v>
      </c>
    </row>
    <row r="46" spans="2:62">
      <c r="AQ46" s="29">
        <v>1.5</v>
      </c>
      <c r="AR46" s="29">
        <v>0.96</v>
      </c>
    </row>
    <row r="47" spans="2:62">
      <c r="AQ47" s="29">
        <v>1.75</v>
      </c>
      <c r="AR47" s="29">
        <v>0.98</v>
      </c>
    </row>
    <row r="48" spans="2:62">
      <c r="AQ48" s="29">
        <v>2</v>
      </c>
      <c r="AR48" s="29">
        <v>1</v>
      </c>
    </row>
    <row r="49" spans="1:53">
      <c r="AQ49" s="29">
        <v>3</v>
      </c>
      <c r="AR49" s="29"/>
    </row>
    <row r="57" spans="1:53" ht="12" customHeight="1">
      <c r="A57" s="119" t="s">
        <v>230</v>
      </c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A57" s="119"/>
      <c r="AB57" s="119"/>
      <c r="AC57" s="119"/>
      <c r="AD57" s="119"/>
      <c r="AE57" s="119"/>
      <c r="AF57" s="119"/>
    </row>
    <row r="58" spans="1:53" ht="17.100000000000001" customHeight="1">
      <c r="A58" s="120" t="s">
        <v>231</v>
      </c>
      <c r="B58" s="120"/>
      <c r="C58" s="120"/>
      <c r="D58" s="120"/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 s="120"/>
      <c r="AE58" s="120"/>
      <c r="AF58" s="120"/>
      <c r="AT58" s="23"/>
      <c r="AU58" s="23"/>
      <c r="AV58" s="23"/>
      <c r="AW58" s="23"/>
      <c r="AX58" s="23"/>
      <c r="AY58" s="23"/>
      <c r="AZ58" s="23"/>
      <c r="BA58" s="23"/>
    </row>
    <row r="59" spans="1:53" ht="17.100000000000001" customHeight="1">
      <c r="A59" s="120"/>
      <c r="B59" s="120"/>
      <c r="C59" s="120"/>
      <c r="D59" s="120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T59" s="23"/>
      <c r="AU59" s="23"/>
      <c r="AV59" s="23"/>
      <c r="AW59" s="23"/>
      <c r="AX59" s="23"/>
      <c r="AY59" s="23"/>
      <c r="AZ59" s="23"/>
      <c r="BA59" s="23"/>
    </row>
    <row r="60" spans="1:53" ht="17.100000000000001" customHeight="1">
      <c r="A60" s="120"/>
      <c r="B60" s="120"/>
      <c r="C60" s="120"/>
      <c r="D60" s="120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T60" s="23"/>
      <c r="AU60" s="23"/>
      <c r="AV60" s="23"/>
      <c r="AW60" s="23"/>
      <c r="AX60" s="23"/>
      <c r="AY60" s="23"/>
      <c r="AZ60" s="23"/>
      <c r="BA60" s="23"/>
    </row>
    <row r="61" spans="1:53" ht="17.100000000000001" customHeight="1">
      <c r="A61" s="120" t="s">
        <v>232</v>
      </c>
      <c r="B61" s="120"/>
      <c r="C61" s="120"/>
      <c r="D61" s="120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T61" s="23"/>
      <c r="AU61" s="23"/>
      <c r="AV61" s="23"/>
      <c r="AW61" s="23"/>
      <c r="AX61" s="23"/>
      <c r="AY61" s="23"/>
      <c r="AZ61" s="23"/>
      <c r="BA61" s="23"/>
    </row>
    <row r="62" spans="1:53" ht="15" customHeight="1">
      <c r="A62" s="105" t="s">
        <v>233</v>
      </c>
      <c r="B62" s="106"/>
      <c r="C62" s="106"/>
      <c r="D62" s="98" t="s">
        <v>234</v>
      </c>
      <c r="E62" s="107"/>
      <c r="F62" s="107"/>
      <c r="G62" s="107"/>
      <c r="H62" s="108"/>
      <c r="I62" s="95" t="s">
        <v>235</v>
      </c>
      <c r="J62" s="96"/>
      <c r="K62" s="96"/>
      <c r="L62" s="96"/>
      <c r="M62" s="109" t="s">
        <v>236</v>
      </c>
      <c r="N62" s="109"/>
      <c r="O62" s="109"/>
      <c r="P62" s="109"/>
      <c r="Q62" s="95" t="s">
        <v>237</v>
      </c>
      <c r="R62" s="96"/>
      <c r="S62" s="96"/>
      <c r="T62" s="96"/>
      <c r="U62" s="110">
        <v>44534</v>
      </c>
      <c r="V62" s="110"/>
      <c r="W62" s="110"/>
      <c r="X62" s="110"/>
      <c r="Y62" s="110"/>
      <c r="Z62" s="95" t="s">
        <v>238</v>
      </c>
      <c r="AA62" s="96"/>
      <c r="AB62" s="96"/>
      <c r="AC62" s="97" t="s">
        <v>239</v>
      </c>
      <c r="AD62" s="97"/>
      <c r="AE62" s="97"/>
      <c r="AF62" s="98"/>
      <c r="AT62" s="23"/>
      <c r="AU62" s="23"/>
      <c r="AV62" s="23"/>
      <c r="AW62" s="23"/>
      <c r="AX62" s="23"/>
      <c r="AY62" s="23"/>
      <c r="AZ62" s="23"/>
      <c r="BA62" s="23"/>
    </row>
    <row r="63" spans="1:53" ht="6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</row>
    <row r="64" spans="1:53" ht="12.6" customHeight="1">
      <c r="A64" s="99" t="s">
        <v>153</v>
      </c>
      <c r="B64" s="100"/>
      <c r="C64" s="100"/>
      <c r="D64" s="101" t="str">
        <f ca="1">+D3</f>
        <v>ID-0074045-2026</v>
      </c>
      <c r="E64" s="102"/>
      <c r="F64" s="102"/>
      <c r="G64" s="102"/>
      <c r="H64" s="102"/>
      <c r="I64" s="32" t="s">
        <v>154</v>
      </c>
      <c r="J64" s="33">
        <f>+J3</f>
        <v>1</v>
      </c>
      <c r="K64" s="101" t="s">
        <v>155</v>
      </c>
      <c r="L64" s="102"/>
      <c r="M64" s="102"/>
      <c r="N64" s="102"/>
      <c r="O64" s="102"/>
      <c r="P64" s="103"/>
      <c r="Q64" s="102" t="str">
        <f>+Q3</f>
        <v>R-5888-3</v>
      </c>
      <c r="R64" s="102"/>
      <c r="S64" s="102"/>
      <c r="T64" s="102"/>
      <c r="U64" s="103"/>
      <c r="V64" s="101" t="s">
        <v>157</v>
      </c>
      <c r="W64" s="102"/>
      <c r="X64" s="102"/>
      <c r="Y64" s="102"/>
      <c r="Z64" s="102"/>
      <c r="AA64" s="103"/>
      <c r="AB64" s="104" t="str">
        <f>+AB3</f>
        <v>1</v>
      </c>
      <c r="AC64" s="59"/>
      <c r="AD64" s="59"/>
      <c r="AE64" s="59"/>
      <c r="AF64" s="59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</row>
    <row r="65" spans="1:69" ht="12.6" customHeight="1">
      <c r="A65" s="59" t="s">
        <v>162</v>
      </c>
      <c r="B65" s="59"/>
      <c r="C65" s="59"/>
      <c r="D65" s="69"/>
      <c r="E65" s="69"/>
      <c r="F65" s="69"/>
      <c r="G65" s="111">
        <f>+G4</f>
        <v>46112</v>
      </c>
      <c r="H65" s="111"/>
      <c r="I65" s="111"/>
      <c r="J65" s="111"/>
      <c r="K65" s="101" t="s">
        <v>163</v>
      </c>
      <c r="L65" s="102"/>
      <c r="M65" s="102"/>
      <c r="N65" s="102"/>
      <c r="O65" s="102"/>
      <c r="P65" s="103"/>
      <c r="Q65" s="85">
        <f>+Q4</f>
        <v>46111</v>
      </c>
      <c r="R65" s="85"/>
      <c r="S65" s="85"/>
      <c r="T65" s="85"/>
      <c r="U65" s="85"/>
      <c r="V65" s="101" t="s">
        <v>164</v>
      </c>
      <c r="W65" s="102"/>
      <c r="X65" s="102"/>
      <c r="Y65" s="102"/>
      <c r="Z65" s="102"/>
      <c r="AA65" s="103"/>
      <c r="AB65" s="94">
        <f>+AB4</f>
        <v>46113</v>
      </c>
      <c r="AC65" s="94"/>
      <c r="AD65" s="94"/>
      <c r="AE65" s="94"/>
      <c r="AF65" s="94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</row>
    <row r="66" spans="1:69" ht="12.6" customHeight="1">
      <c r="A66" s="92" t="s">
        <v>240</v>
      </c>
      <c r="B66" s="92"/>
      <c r="C66" s="92"/>
      <c r="D66" s="92"/>
      <c r="E66" s="92"/>
      <c r="F66" s="92"/>
      <c r="G66" s="93" t="str">
        <f>UPPER(G5)</f>
        <v>CONSORCIO METRO XM</v>
      </c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9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</row>
    <row r="67" spans="1:69" ht="12.6" customHeight="1">
      <c r="A67" s="89" t="s">
        <v>241</v>
      </c>
      <c r="B67" s="89"/>
      <c r="C67" s="89"/>
      <c r="D67" s="89"/>
      <c r="E67" s="89"/>
      <c r="F67" s="89"/>
      <c r="G67" s="90" t="str">
        <f>UPPER(G6)</f>
        <v>CR 14 # 75-77 OF 409</v>
      </c>
      <c r="H67" s="90"/>
      <c r="I67" s="90"/>
      <c r="J67" s="90"/>
      <c r="K67" s="90"/>
      <c r="L67" s="90"/>
      <c r="M67" s="90"/>
      <c r="N67" s="90"/>
      <c r="O67" s="91" t="s">
        <v>242</v>
      </c>
      <c r="P67" s="91"/>
      <c r="Q67" s="91"/>
      <c r="R67" s="90" t="str">
        <f>UPPER(R6)</f>
        <v>BOGOTÁ</v>
      </c>
      <c r="S67" s="90"/>
      <c r="T67" s="90"/>
      <c r="U67" s="91" t="s">
        <v>243</v>
      </c>
      <c r="V67" s="91"/>
      <c r="W67" s="91"/>
      <c r="X67" s="90" t="str">
        <f>UPPER(X6)</f>
        <v>BOGOTÁ</v>
      </c>
      <c r="Y67" s="90"/>
      <c r="Z67" s="90"/>
      <c r="AA67" s="91" t="s">
        <v>244</v>
      </c>
      <c r="AB67" s="91"/>
      <c r="AC67" s="91"/>
      <c r="AD67" s="90" t="str">
        <f>UPPER(AD6)</f>
        <v>COLOMBIA</v>
      </c>
      <c r="AE67" s="90"/>
      <c r="AF67" s="90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</row>
    <row r="68" spans="1:69" ht="50.1" customHeight="1">
      <c r="A68" s="89" t="s">
        <v>180</v>
      </c>
      <c r="B68" s="89"/>
      <c r="C68" s="89"/>
      <c r="D68" s="89"/>
      <c r="E68" s="89"/>
      <c r="F68" s="89"/>
      <c r="G68" s="90" t="str">
        <f>UPPER(G7)</f>
        <v>OB-003418</v>
      </c>
      <c r="H68" s="90"/>
      <c r="I68" s="90"/>
      <c r="J68" s="90"/>
      <c r="K68" s="91" t="s">
        <v>245</v>
      </c>
      <c r="L68" s="91"/>
      <c r="M68" s="91"/>
      <c r="N68" s="81" t="str">
        <f>UPPER(N7)</f>
        <v>ESTACIÓN 8 ML</v>
      </c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</row>
    <row r="69" spans="1:69" ht="12.6" customHeight="1">
      <c r="A69" s="89" t="s">
        <v>246</v>
      </c>
      <c r="B69" s="89"/>
      <c r="C69" s="89"/>
      <c r="D69" s="89"/>
      <c r="E69" s="89"/>
      <c r="F69" s="89"/>
      <c r="G69" s="90" t="str">
        <f>UPPER(G8)</f>
        <v xml:space="preserve">CEMEX </v>
      </c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90"/>
      <c r="T69" s="90"/>
      <c r="U69" s="90"/>
      <c r="V69" s="90"/>
      <c r="W69" s="90"/>
      <c r="X69" s="90"/>
      <c r="Y69" s="90"/>
      <c r="Z69" s="90"/>
      <c r="AA69" s="90"/>
      <c r="AB69" s="90"/>
      <c r="AC69" s="90"/>
      <c r="AD69" s="90"/>
      <c r="AE69" s="90"/>
      <c r="AF69" s="90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</row>
    <row r="70" spans="1:69" ht="3" customHeight="1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</row>
    <row r="71" spans="1:69" ht="12.6" customHeight="1">
      <c r="A71" s="31"/>
      <c r="B71" s="82" t="s">
        <v>247</v>
      </c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3"/>
      <c r="P71" s="83"/>
      <c r="Q71" s="83"/>
      <c r="R71" s="83"/>
      <c r="S71" s="83"/>
      <c r="T71" s="83"/>
      <c r="U71" s="83"/>
      <c r="V71" s="83"/>
      <c r="W71" s="83"/>
      <c r="X71" s="83"/>
      <c r="Y71" s="83"/>
      <c r="Z71" s="83"/>
      <c r="AA71" s="83"/>
      <c r="AB71" s="83"/>
      <c r="AC71" s="83"/>
      <c r="AD71" s="83"/>
      <c r="AE71" s="84"/>
      <c r="AF71" s="31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</row>
    <row r="72" spans="1:69" ht="3" customHeight="1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</row>
    <row r="73" spans="1:69" ht="19.149999999999999" customHeight="1">
      <c r="A73" s="31"/>
      <c r="B73" s="65" t="s">
        <v>248</v>
      </c>
      <c r="C73" s="66"/>
      <c r="D73" s="66"/>
      <c r="E73" s="66"/>
      <c r="F73" s="85">
        <f>+F10</f>
        <v>46105</v>
      </c>
      <c r="G73" s="85"/>
      <c r="H73" s="85"/>
      <c r="I73"/>
      <c r="J73" s="81" t="s">
        <v>249</v>
      </c>
      <c r="K73" s="81"/>
      <c r="L73" s="81"/>
      <c r="M73" s="81"/>
      <c r="N73" s="81"/>
      <c r="O73" s="63">
        <f>+O10</f>
        <v>34.47</v>
      </c>
      <c r="P73" s="63"/>
      <c r="Q73"/>
      <c r="R73" s="81" t="s">
        <v>250</v>
      </c>
      <c r="S73" s="81"/>
      <c r="T73" s="81"/>
      <c r="U73" s="81"/>
      <c r="V73" s="81"/>
      <c r="W73" s="60">
        <f>O73*145.038</f>
        <v>4999.4598599999999</v>
      </c>
      <c r="X73" s="60"/>
      <c r="Y73"/>
      <c r="Z73" s="81" t="s">
        <v>251</v>
      </c>
      <c r="AA73" s="81"/>
      <c r="AB73" s="81"/>
      <c r="AC73" s="86">
        <f>Q65-F73</f>
        <v>6</v>
      </c>
      <c r="AD73" s="87"/>
      <c r="AE73" s="88"/>
      <c r="AF73" s="31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</row>
    <row r="74" spans="1:69" ht="3" customHeight="1">
      <c r="A74" s="31"/>
      <c r="B74" s="34"/>
      <c r="C74" s="34"/>
      <c r="D74" s="34"/>
      <c r="E74" s="34"/>
      <c r="F74" s="34"/>
      <c r="G74" s="34"/>
      <c r="H74" s="35"/>
      <c r="I74" s="35"/>
      <c r="J74" s="35"/>
      <c r="K74"/>
      <c r="L74" s="35"/>
      <c r="M74" s="35"/>
      <c r="N74" s="35"/>
      <c r="O74" s="35"/>
      <c r="P74" s="35"/>
      <c r="Q74" s="35"/>
      <c r="R74" s="36"/>
      <c r="S74" s="36"/>
      <c r="T74"/>
      <c r="U74"/>
      <c r="V74"/>
      <c r="W74"/>
      <c r="X74"/>
      <c r="Y74"/>
      <c r="Z74"/>
      <c r="AA74"/>
      <c r="AB74"/>
      <c r="AC74"/>
      <c r="AD74"/>
      <c r="AE74"/>
      <c r="AF74" s="31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</row>
    <row r="75" spans="1:69" ht="18" customHeight="1">
      <c r="A75" s="31"/>
      <c r="B75" s="65" t="s">
        <v>190</v>
      </c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7"/>
      <c r="N75" s="59" t="s">
        <v>191</v>
      </c>
      <c r="O75" s="59"/>
      <c r="P75" s="59"/>
      <c r="Q75" s="59" t="str">
        <f>UPPER(Q12)</f>
        <v>E8-234</v>
      </c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37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</row>
    <row r="76" spans="1:69" ht="59.45" customHeight="1">
      <c r="A76" s="31"/>
      <c r="B76" s="78" t="s">
        <v>252</v>
      </c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80"/>
      <c r="N76" s="81" t="str">
        <f>+Q75</f>
        <v>E8-234</v>
      </c>
      <c r="O76" s="81"/>
      <c r="P76" s="81"/>
      <c r="Q76" s="81" t="str">
        <f>UPPER(Q13)</f>
        <v>PLACA NIVEL INFERIOR DE PLATAFORMA +13.82 EJE 3´-5´ - ENTRE EJES A-E</v>
      </c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31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</row>
    <row r="77" spans="1:69" ht="15">
      <c r="A77" s="31"/>
      <c r="B77" s="65" t="s">
        <v>197</v>
      </c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7"/>
      <c r="N77" s="59" t="s">
        <v>154</v>
      </c>
      <c r="O77" s="59"/>
      <c r="P77" s="59"/>
      <c r="Q77" s="73" t="str">
        <f>+UPPER(Q14)</f>
        <v>CILINDRO DE CONCRETO</v>
      </c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31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</row>
    <row r="78" spans="1:69" ht="3" customHeight="1">
      <c r="A78" s="31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 s="38"/>
      <c r="Y78" s="38"/>
      <c r="Z78" s="38"/>
      <c r="AA78" s="38"/>
      <c r="AB78" s="38"/>
      <c r="AC78" s="38"/>
      <c r="AD78" s="38"/>
      <c r="AE78" s="38"/>
      <c r="AF78" s="31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</row>
    <row r="79" spans="1:69" ht="15.6" customHeight="1">
      <c r="A79" s="31"/>
      <c r="B79" s="61" t="s">
        <v>198</v>
      </c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31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</row>
    <row r="80" spans="1:69" ht="15.6" customHeight="1">
      <c r="A80" s="31"/>
      <c r="B80" s="74" t="s">
        <v>253</v>
      </c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6"/>
      <c r="N80" s="69" t="s">
        <v>154</v>
      </c>
      <c r="O80" s="69"/>
      <c r="P80" s="69"/>
      <c r="Q80" s="77">
        <v>1</v>
      </c>
      <c r="R80" s="77"/>
      <c r="S80" s="77"/>
      <c r="T80" s="77"/>
      <c r="U80" s="77"/>
      <c r="V80" s="77">
        <v>2</v>
      </c>
      <c r="W80" s="77"/>
      <c r="X80" s="77"/>
      <c r="Y80" s="77"/>
      <c r="Z80" s="77"/>
      <c r="AA80" s="77">
        <v>3</v>
      </c>
      <c r="AB80" s="77"/>
      <c r="AC80" s="77"/>
      <c r="AD80" s="77"/>
      <c r="AE80" s="77"/>
      <c r="AF80" s="31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</row>
    <row r="81" spans="1:69" ht="10.9" customHeight="1">
      <c r="A81" s="31"/>
      <c r="B81" s="71" t="s">
        <v>201</v>
      </c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59" t="s">
        <v>202</v>
      </c>
      <c r="O81" s="59"/>
      <c r="P81" s="59"/>
      <c r="Q81" s="60">
        <f>+IF(Q17=0,"",ROUND(AVERAGE(Q34:U36),0))</f>
        <v>200</v>
      </c>
      <c r="R81" s="60"/>
      <c r="S81" s="60"/>
      <c r="T81" s="60"/>
      <c r="U81" s="60"/>
      <c r="V81" s="60">
        <f>+IF(V17=0,"",ROUND(AVERAGE(V34:Z36),0))</f>
        <v>201</v>
      </c>
      <c r="W81" s="60"/>
      <c r="X81" s="60"/>
      <c r="Y81" s="60"/>
      <c r="Z81" s="60"/>
      <c r="AA81" s="60">
        <f>+IF(AA17=0,"",ROUND(AVERAGE(AA34:AE36),0))</f>
        <v>200</v>
      </c>
      <c r="AB81" s="60"/>
      <c r="AC81" s="60"/>
      <c r="AD81" s="60"/>
      <c r="AE81" s="60"/>
      <c r="AF81" s="31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</row>
    <row r="82" spans="1:69" ht="10.9" customHeight="1">
      <c r="A82" s="31"/>
      <c r="B82" s="71" t="s">
        <v>273</v>
      </c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59" t="s">
        <v>202</v>
      </c>
      <c r="O82" s="59"/>
      <c r="P82" s="59"/>
      <c r="Q82" s="72">
        <f>+IF(Q20=0,"",ROUND(AVERAGE(Q37:U38),2))</f>
        <v>100.5</v>
      </c>
      <c r="R82" s="72"/>
      <c r="S82" s="72"/>
      <c r="T82" s="72"/>
      <c r="U82" s="72"/>
      <c r="V82" s="72">
        <f>+IF(V20=0,"",ROUND(AVERAGE(V37:Z38),2))</f>
        <v>101</v>
      </c>
      <c r="W82" s="72"/>
      <c r="X82" s="72"/>
      <c r="Y82" s="72"/>
      <c r="Z82" s="72"/>
      <c r="AA82" s="72">
        <f>+IF(AA20=0,"",ROUND(AVERAGE(AA37:AE38),2))</f>
        <v>100.5</v>
      </c>
      <c r="AB82" s="72"/>
      <c r="AC82" s="72"/>
      <c r="AD82" s="72"/>
      <c r="AE82" s="72"/>
      <c r="AF82" s="31"/>
      <c r="AJ82" s="23"/>
      <c r="AK82" s="23"/>
      <c r="AL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</row>
    <row r="83" spans="1:69" ht="10.9" customHeight="1">
      <c r="A83" s="31"/>
      <c r="B83" s="71" t="s">
        <v>214</v>
      </c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59" t="s">
        <v>215</v>
      </c>
      <c r="O83" s="59"/>
      <c r="P83" s="59"/>
      <c r="Q83" s="60">
        <f>+IF(Q22=0,"",Q22)</f>
        <v>3887</v>
      </c>
      <c r="R83" s="60"/>
      <c r="S83" s="60"/>
      <c r="T83" s="60"/>
      <c r="U83" s="60"/>
      <c r="V83" s="60">
        <f>+IF(V22=0,"",V22)</f>
        <v>3937</v>
      </c>
      <c r="W83" s="60"/>
      <c r="X83" s="60"/>
      <c r="Y83" s="60"/>
      <c r="Z83" s="60"/>
      <c r="AA83" s="60">
        <f>+IF(AA22=0,"",AA22)</f>
        <v>3855</v>
      </c>
      <c r="AB83" s="60"/>
      <c r="AC83" s="60"/>
      <c r="AD83" s="60"/>
      <c r="AE83" s="60"/>
      <c r="AF83" s="31"/>
      <c r="AL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</row>
    <row r="84" spans="1:69" ht="10.9" customHeight="1">
      <c r="A84" s="31"/>
      <c r="B84" s="71" t="s">
        <v>254</v>
      </c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59" t="s">
        <v>154</v>
      </c>
      <c r="O84" s="59"/>
      <c r="P84" s="59"/>
      <c r="Q84" s="63">
        <f>IF(Q81="","",Q81/Q82)</f>
        <v>1.9900497512437811</v>
      </c>
      <c r="R84" s="63"/>
      <c r="S84" s="63"/>
      <c r="T84" s="63"/>
      <c r="U84" s="63"/>
      <c r="V84" s="63">
        <f>IF(V81="","",V81/V82)</f>
        <v>1.9900990099009901</v>
      </c>
      <c r="W84" s="63"/>
      <c r="X84" s="63"/>
      <c r="Y84" s="63"/>
      <c r="Z84" s="63"/>
      <c r="AA84" s="63">
        <f>IF(AA81="","",AA81/AA82)</f>
        <v>1.9900497512437811</v>
      </c>
      <c r="AB84" s="63"/>
      <c r="AC84" s="63"/>
      <c r="AD84" s="63"/>
      <c r="AE84" s="63"/>
      <c r="AF84" s="31"/>
      <c r="AL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</row>
    <row r="85" spans="1:69" ht="12.6" customHeight="1">
      <c r="A85" s="31"/>
      <c r="B85" s="71" t="s">
        <v>255</v>
      </c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59" t="s">
        <v>274</v>
      </c>
      <c r="O85" s="59"/>
      <c r="P85" s="59"/>
      <c r="Q85" s="72">
        <f>IF(Q82="","",(PI()*Q82*Q82)/4)</f>
        <v>7932.7177998550769</v>
      </c>
      <c r="R85" s="72"/>
      <c r="S85" s="72"/>
      <c r="T85" s="72"/>
      <c r="U85" s="72"/>
      <c r="V85" s="72">
        <f>IF(V82="","",(PI()*V82*V82)/4)</f>
        <v>8011.8466648173699</v>
      </c>
      <c r="W85" s="72"/>
      <c r="X85" s="72"/>
      <c r="Y85" s="72"/>
      <c r="Z85" s="72"/>
      <c r="AA85" s="63">
        <f>IF(AA82="","",(PI()*AA82*AA82)/4)</f>
        <v>7932.7177998550769</v>
      </c>
      <c r="AB85" s="63"/>
      <c r="AC85" s="63"/>
      <c r="AD85" s="63"/>
      <c r="AE85" s="63"/>
      <c r="AF85" s="31"/>
      <c r="AL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</row>
    <row r="86" spans="1:69" ht="12.6" customHeight="1">
      <c r="A86" s="31"/>
      <c r="B86" s="71" t="s">
        <v>256</v>
      </c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59" t="s">
        <v>275</v>
      </c>
      <c r="O86" s="59"/>
      <c r="P86" s="59"/>
      <c r="Q86" s="60">
        <f>IF(Q83="","",((Q83/((Q85*Q81)))*1000)*1000)</f>
        <v>2449.9800056362847</v>
      </c>
      <c r="R86" s="60"/>
      <c r="S86" s="60"/>
      <c r="T86" s="60"/>
      <c r="U86" s="60"/>
      <c r="V86" s="60">
        <f>IF(V83="","",((V83/((V85*V81)))*1000)*1000)</f>
        <v>2444.7627988975501</v>
      </c>
      <c r="W86" s="60"/>
      <c r="X86" s="60"/>
      <c r="Y86" s="60"/>
      <c r="Z86" s="60"/>
      <c r="AA86" s="60">
        <f>IF(AA83="","",((AA83/((AA85*AA81)))*1000)*1000)</f>
        <v>2429.8103734828605</v>
      </c>
      <c r="AB86" s="60"/>
      <c r="AC86" s="60"/>
      <c r="AD86" s="60"/>
      <c r="AE86" s="60"/>
      <c r="AF86" s="31"/>
      <c r="AL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</row>
    <row r="87" spans="1:69" ht="3" customHeight="1">
      <c r="A87" s="31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 s="39"/>
      <c r="U87" s="39"/>
      <c r="V87" s="39"/>
      <c r="W87" s="39"/>
      <c r="X87" s="40"/>
      <c r="Y87" s="40"/>
      <c r="Z87" s="40"/>
      <c r="AA87" s="40"/>
      <c r="AB87"/>
      <c r="AC87"/>
      <c r="AD87"/>
      <c r="AE87"/>
      <c r="AF87" s="31"/>
      <c r="AL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</row>
    <row r="88" spans="1:69" ht="12" customHeight="1">
      <c r="A88" s="31"/>
      <c r="B88" s="61" t="s">
        <v>221</v>
      </c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31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</row>
    <row r="89" spans="1:69" ht="12" customHeight="1">
      <c r="A89" s="31"/>
      <c r="B89" s="68" t="s">
        <v>257</v>
      </c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9" t="s">
        <v>225</v>
      </c>
      <c r="O89" s="69"/>
      <c r="P89" s="69"/>
      <c r="Q89" s="70">
        <f>IF(Q25=0,"",Q25)</f>
        <v>289.5</v>
      </c>
      <c r="R89" s="70"/>
      <c r="S89" s="70"/>
      <c r="T89" s="70"/>
      <c r="U89" s="70"/>
      <c r="V89" s="70">
        <f>IF(V25=0,"",V25)</f>
        <v>303.89999999999998</v>
      </c>
      <c r="W89" s="70"/>
      <c r="X89" s="70"/>
      <c r="Y89" s="70"/>
      <c r="Z89" s="70"/>
      <c r="AA89" s="70">
        <f>IF(AA25=0,"",AA25)</f>
        <v>283.39999999999998</v>
      </c>
      <c r="AB89" s="70"/>
      <c r="AC89" s="70"/>
      <c r="AD89" s="70"/>
      <c r="AE89" s="70"/>
      <c r="AF89" s="31"/>
      <c r="AH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</row>
    <row r="90" spans="1:69" ht="12" customHeight="1">
      <c r="A90" s="31"/>
      <c r="B90" s="65" t="s">
        <v>258</v>
      </c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7"/>
      <c r="N90" s="59" t="s">
        <v>154</v>
      </c>
      <c r="O90" s="59"/>
      <c r="P90" s="59"/>
      <c r="Q90" s="63">
        <f>+(-0.1067*Q84*Q84*Q84*Q84)+(0.8*Q84*Q84*Q84)-(2.2333*Q84*Q84)+(2.83*Q84)-0.42</f>
        <v>0.99878073540449641</v>
      </c>
      <c r="R90" s="63"/>
      <c r="S90" s="63"/>
      <c r="T90" s="63"/>
      <c r="U90" s="63"/>
      <c r="V90" s="63">
        <f>IF(V84="","",(-0.1067*V84*V84*V84*V84)+(0.8*V84*V84*V84)-(2.2333*V84*V84)+(2.83*V84)-0.42)</f>
        <v>0.998784787788777</v>
      </c>
      <c r="W90" s="63"/>
      <c r="X90" s="63"/>
      <c r="Y90" s="63"/>
      <c r="Z90" s="63"/>
      <c r="AA90" s="63">
        <f>IF(AA84="","",(-0.1067*AA84*AA84*AA84*AA84)+(0.8*AA84*AA84*AA84)-(2.2333*AA84*AA84)+(2.83*AA84)-0.42)</f>
        <v>0.99878073540449641</v>
      </c>
      <c r="AB90" s="63"/>
      <c r="AC90" s="63"/>
      <c r="AD90" s="63"/>
      <c r="AE90" s="63"/>
      <c r="AF90" s="31"/>
      <c r="AH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</row>
    <row r="91" spans="1:69" ht="12" customHeight="1">
      <c r="A91" s="31"/>
      <c r="B91" s="56" t="s">
        <v>259</v>
      </c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8"/>
      <c r="N91" s="59" t="s">
        <v>196</v>
      </c>
      <c r="O91" s="59"/>
      <c r="P91" s="59"/>
      <c r="Q91" s="63">
        <f>IF(Q89="","",(Q89*1000/Q85)*Q90)</f>
        <v>36.449931813392396</v>
      </c>
      <c r="R91" s="63"/>
      <c r="S91" s="63"/>
      <c r="T91" s="63"/>
      <c r="U91" s="63"/>
      <c r="V91" s="63">
        <f>IF(V89="","",(V89*1000/V85)*V90)</f>
        <v>37.885235415439439</v>
      </c>
      <c r="W91" s="63"/>
      <c r="X91" s="63"/>
      <c r="Y91" s="63"/>
      <c r="Z91" s="63"/>
      <c r="AA91" s="63">
        <f>IF(AA89="","",(AA89*1000/AA85)*AA90)</f>
        <v>35.681902162056666</v>
      </c>
      <c r="AB91" s="63"/>
      <c r="AC91" s="63"/>
      <c r="AD91" s="63"/>
      <c r="AE91" s="63"/>
      <c r="AF91" s="31"/>
      <c r="AH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</row>
    <row r="92" spans="1:69" ht="12" customHeight="1">
      <c r="A92" s="31"/>
      <c r="B92" s="56" t="s">
        <v>259</v>
      </c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8"/>
      <c r="N92" s="59" t="s">
        <v>195</v>
      </c>
      <c r="O92" s="59"/>
      <c r="P92" s="59"/>
      <c r="Q92" s="63">
        <f>IF(Q91="","",Q91*145.038)</f>
        <v>5286.6252103508068</v>
      </c>
      <c r="R92" s="63"/>
      <c r="S92" s="63"/>
      <c r="T92" s="63"/>
      <c r="U92" s="63"/>
      <c r="V92" s="63">
        <f>IF(V91="","",V91*145.038)</f>
        <v>5494.7987741845054</v>
      </c>
      <c r="W92" s="63"/>
      <c r="X92" s="63"/>
      <c r="Y92" s="63"/>
      <c r="Z92" s="63"/>
      <c r="AA92" s="63">
        <f>IF(AA91="","",AA91*145.038)</f>
        <v>5175.2317257803752</v>
      </c>
      <c r="AB92" s="63"/>
      <c r="AC92" s="63"/>
      <c r="AD92" s="63"/>
      <c r="AE92" s="63"/>
      <c r="AF92" s="31"/>
      <c r="AH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</row>
    <row r="93" spans="1:69" ht="12" customHeight="1">
      <c r="A93" s="31"/>
      <c r="B93" s="56" t="s">
        <v>259</v>
      </c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8"/>
      <c r="N93" s="59" t="s">
        <v>260</v>
      </c>
      <c r="O93" s="59"/>
      <c r="P93" s="59"/>
      <c r="Q93" s="64">
        <f>IF(Q91="","",(Q91/$O$73)*100)</f>
        <v>105.74392751201739</v>
      </c>
      <c r="R93" s="64"/>
      <c r="S93" s="64"/>
      <c r="T93" s="64"/>
      <c r="U93" s="64"/>
      <c r="V93" s="64">
        <f>IF(V91="","",(V91/$O$73)*100)</f>
        <v>109.90784860875962</v>
      </c>
      <c r="W93" s="64"/>
      <c r="X93" s="64"/>
      <c r="Y93" s="64"/>
      <c r="Z93" s="64"/>
      <c r="AA93" s="64">
        <f>IF(AA91="","",(AA91/$O$73)*100)</f>
        <v>103.51581712229958</v>
      </c>
      <c r="AB93" s="64"/>
      <c r="AC93" s="64"/>
      <c r="AD93" s="64"/>
      <c r="AE93" s="64"/>
      <c r="AF93" s="31"/>
      <c r="AH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</row>
    <row r="94" spans="1:69" ht="11.45" customHeight="1">
      <c r="A94" s="31"/>
      <c r="B94" s="56" t="s">
        <v>226</v>
      </c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8"/>
      <c r="N94" s="59" t="s">
        <v>154</v>
      </c>
      <c r="O94" s="59"/>
      <c r="P94" s="59"/>
      <c r="Q94" s="60">
        <f>IF(Q26=0,"",Q26)</f>
        <v>2</v>
      </c>
      <c r="R94" s="60"/>
      <c r="S94" s="60"/>
      <c r="T94" s="60"/>
      <c r="U94" s="60"/>
      <c r="V94" s="60">
        <f>IF(V26=0,"",V26)</f>
        <v>3</v>
      </c>
      <c r="W94" s="60"/>
      <c r="X94" s="60"/>
      <c r="Y94" s="60"/>
      <c r="Z94" s="60"/>
      <c r="AA94" s="60">
        <f>IF(AA26=0,"",AA26)</f>
        <v>3</v>
      </c>
      <c r="AB94" s="60"/>
      <c r="AC94" s="60"/>
      <c r="AD94" s="60"/>
      <c r="AE94" s="60"/>
      <c r="AF94" s="31"/>
      <c r="AP94" s="23"/>
    </row>
    <row r="95" spans="1:69" ht="3" customHeight="1">
      <c r="A95" s="31"/>
      <c r="B95"/>
      <c r="C95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2"/>
      <c r="AA95" s="42"/>
      <c r="AB95" s="42"/>
      <c r="AC95" s="42"/>
      <c r="AD95" s="31"/>
      <c r="AE95" s="31"/>
      <c r="AF95" s="31"/>
    </row>
    <row r="96" spans="1:69" ht="10.15" customHeight="1">
      <c r="A96" s="31"/>
      <c r="B96" s="61" t="s">
        <v>261</v>
      </c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 t="s">
        <v>262</v>
      </c>
      <c r="Y96" s="61"/>
      <c r="Z96" s="61"/>
      <c r="AA96" s="61"/>
      <c r="AB96" s="62">
        <f>AVERAGE(Q91:AE91)</f>
        <v>36.672356463629505</v>
      </c>
      <c r="AC96" s="61"/>
      <c r="AD96" s="61"/>
      <c r="AE96" s="61"/>
      <c r="AF96" s="31"/>
    </row>
    <row r="97" spans="1:36" ht="10.15" customHeight="1">
      <c r="A97" s="3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 t="s">
        <v>260</v>
      </c>
      <c r="Y97" s="61"/>
      <c r="Z97" s="61"/>
      <c r="AA97" s="61"/>
      <c r="AB97" s="62">
        <f>AVERAGE(Q93:AE93)</f>
        <v>106.38919774769219</v>
      </c>
      <c r="AC97" s="61"/>
      <c r="AD97" s="61"/>
      <c r="AE97" s="61"/>
      <c r="AF97" s="31"/>
    </row>
    <row r="98" spans="1:36" ht="3" customHeight="1">
      <c r="A98" s="31"/>
      <c r="B98"/>
      <c r="C98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2"/>
      <c r="AA98" s="42"/>
      <c r="AB98" s="42"/>
      <c r="AC98" s="42"/>
      <c r="AD98" s="31"/>
      <c r="AE98" s="31"/>
      <c r="AF98" s="31"/>
    </row>
    <row r="99" spans="1:36" ht="15.6" customHeight="1">
      <c r="A99" s="31"/>
      <c r="B99" s="30" t="s">
        <v>227</v>
      </c>
      <c r="C99"/>
      <c r="D99" s="41"/>
      <c r="E99" s="41"/>
      <c r="F99" s="41"/>
      <c r="G99" s="50" t="str">
        <f>+G28</f>
        <v>EQ-0538 Balanza 15000 g, EQ-0539 Prensa compresión 1000 kN, EQ-0528 Prensa universal, EQ-0592 Pie de rey (300 mm), EQ-0565 Bloque patrón para medición de longitudes (Bloque de 0.118 pulgadas), EQ-0625 Galga 2 mm.</v>
      </c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31"/>
    </row>
    <row r="100" spans="1:36" ht="15.6" customHeight="1">
      <c r="A100" s="31"/>
      <c r="B100" s="31"/>
      <c r="C100" s="31"/>
      <c r="D100" s="31"/>
      <c r="E100" s="31"/>
      <c r="F100" s="3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31"/>
    </row>
    <row r="101" spans="1:36" ht="7.15" customHeight="1">
      <c r="A101" s="31"/>
      <c r="B101"/>
      <c r="C101"/>
      <c r="D101" s="41"/>
      <c r="E101" s="41"/>
      <c r="F101" s="4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 s="31"/>
    </row>
    <row r="102" spans="1:36" ht="15" customHeight="1">
      <c r="A102" s="31"/>
      <c r="B102" s="52" t="s">
        <v>263</v>
      </c>
      <c r="C102" s="52"/>
      <c r="D102" s="52"/>
      <c r="E102" s="52"/>
      <c r="F102" s="52"/>
      <c r="G102" s="52"/>
      <c r="H102" s="52"/>
      <c r="I102" s="52"/>
      <c r="J102" s="53" t="s">
        <v>387</v>
      </c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31"/>
    </row>
    <row r="103" spans="1:36" ht="3" customHeight="1">
      <c r="A103" s="31"/>
      <c r="B103"/>
      <c r="C103"/>
      <c r="D103" s="41"/>
      <c r="E103" s="41"/>
      <c r="F103" s="41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 s="31"/>
    </row>
    <row r="104" spans="1:36" ht="15.6" customHeight="1">
      <c r="A104" s="31"/>
      <c r="B104" s="30" t="s">
        <v>229</v>
      </c>
      <c r="C104" s="31"/>
      <c r="D104" s="31"/>
      <c r="E104" s="31"/>
      <c r="F104" s="31"/>
      <c r="G104" s="53" t="str">
        <f>+IF(G45=0,"",G45)</f>
        <v/>
      </c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31"/>
    </row>
    <row r="105" spans="1:36" ht="6" customHeight="1">
      <c r="A105" s="31"/>
      <c r="B105" s="30"/>
      <c r="C105" s="31"/>
      <c r="D105" s="31"/>
      <c r="E105" s="31"/>
      <c r="F105" s="31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1"/>
      <c r="AJ105" s="23"/>
    </row>
    <row r="106" spans="1:36" ht="6" customHeight="1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J106" s="23"/>
    </row>
    <row r="107" spans="1:36" ht="12" customHeight="1">
      <c r="A107" s="31"/>
      <c r="B107" s="31"/>
      <c r="C107"/>
      <c r="D107"/>
      <c r="E107"/>
      <c r="F107"/>
      <c r="G107"/>
      <c r="H107"/>
      <c r="I107"/>
      <c r="J107"/>
      <c r="K107"/>
      <c r="L107"/>
      <c r="M107" s="31"/>
      <c r="N107" s="31"/>
      <c r="O107" s="31"/>
      <c r="P107" s="31"/>
      <c r="Q107" s="31"/>
      <c r="R107" s="31"/>
      <c r="S107" s="31"/>
      <c r="T107" s="54" t="str">
        <f ca="1">+D64</f>
        <v>ID-0074045-2026</v>
      </c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31"/>
    </row>
    <row r="108" spans="1:36" ht="12" customHeight="1">
      <c r="A108" s="31"/>
      <c r="B108"/>
      <c r="C108"/>
      <c r="D108"/>
      <c r="E108"/>
      <c r="F108"/>
      <c r="G108"/>
      <c r="H108"/>
      <c r="I108"/>
      <c r="J108"/>
      <c r="K108"/>
      <c r="L108"/>
      <c r="M108"/>
      <c r="N108" s="31"/>
      <c r="O108" s="31"/>
      <c r="P108" s="31"/>
      <c r="Q108" s="31"/>
      <c r="R108" s="31"/>
      <c r="S108" s="31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31"/>
    </row>
    <row r="109" spans="1:36" ht="12" customHeight="1">
      <c r="A109" s="31"/>
      <c r="B109"/>
      <c r="C109"/>
      <c r="D109"/>
      <c r="E109"/>
      <c r="F109"/>
      <c r="G109"/>
      <c r="H109"/>
      <c r="I109"/>
      <c r="J109"/>
      <c r="K109"/>
      <c r="L109"/>
      <c r="M109"/>
      <c r="N109" s="31"/>
      <c r="O109" s="31"/>
      <c r="P109" s="31"/>
      <c r="Q109" s="31"/>
      <c r="R109" s="31"/>
      <c r="S109" s="31"/>
      <c r="T109" s="49" t="s">
        <v>264</v>
      </c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31"/>
    </row>
    <row r="110" spans="1:36" ht="12" customHeight="1">
      <c r="A110" s="31"/>
      <c r="B110"/>
      <c r="C110"/>
      <c r="D110"/>
      <c r="E110"/>
      <c r="F110"/>
      <c r="G110"/>
      <c r="H110"/>
      <c r="I110"/>
      <c r="J110"/>
      <c r="K110"/>
      <c r="L110"/>
      <c r="M110"/>
      <c r="N110" s="31"/>
      <c r="O110" s="31"/>
      <c r="P110" s="31"/>
      <c r="Q110" s="31"/>
      <c r="R110" s="31"/>
      <c r="S110" s="31"/>
      <c r="T110" s="31"/>
      <c r="U110" s="48" t="s">
        <v>265</v>
      </c>
      <c r="V110" s="48"/>
      <c r="W110" s="48"/>
      <c r="X110" s="48"/>
      <c r="Y110" s="48"/>
      <c r="Z110" s="48"/>
      <c r="AA110" s="48"/>
      <c r="AB110" s="48"/>
      <c r="AC110" s="48"/>
      <c r="AD110" s="48"/>
      <c r="AE110" s="31"/>
      <c r="AF110" s="31"/>
    </row>
    <row r="111" spans="1:36" ht="12" customHeight="1">
      <c r="A111" s="31"/>
      <c r="B111"/>
      <c r="C111"/>
      <c r="D111"/>
      <c r="E111"/>
      <c r="F111"/>
      <c r="G111"/>
      <c r="H111"/>
      <c r="I111"/>
      <c r="J111"/>
      <c r="K111"/>
      <c r="L111"/>
      <c r="M111"/>
      <c r="N111" s="31"/>
      <c r="O111" s="31"/>
      <c r="P111" s="31"/>
      <c r="Q111" s="31"/>
      <c r="R111" s="31"/>
      <c r="S111" s="31"/>
      <c r="T111" s="31"/>
      <c r="U111" s="48" t="s">
        <v>266</v>
      </c>
      <c r="V111" s="48"/>
      <c r="W111" s="48"/>
      <c r="X111" s="48"/>
      <c r="Y111" s="48"/>
      <c r="Z111" s="48"/>
      <c r="AA111" s="48"/>
      <c r="AB111" s="48"/>
      <c r="AC111" s="48"/>
      <c r="AD111" s="48"/>
      <c r="AE111" s="31"/>
      <c r="AF111" s="31"/>
    </row>
    <row r="112" spans="1:36" ht="3" customHeight="1">
      <c r="A112" s="31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31"/>
      <c r="AF112" s="31"/>
    </row>
    <row r="113" spans="1:32" ht="10.9" customHeight="1">
      <c r="A113" s="31"/>
      <c r="B113" s="49" t="s">
        <v>267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31"/>
      <c r="AF113" s="31"/>
    </row>
    <row r="114" spans="1:32" ht="3" customHeigh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</row>
    <row r="115" spans="1:32" ht="7.5" customHeight="1">
      <c r="A115" s="47" t="s">
        <v>268</v>
      </c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</row>
    <row r="116" spans="1:32" ht="7.5" customHeight="1">
      <c r="A116" s="46" t="s">
        <v>269</v>
      </c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7.5" customHeight="1">
      <c r="A117" s="46" t="s">
        <v>270</v>
      </c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7.5" customHeight="1">
      <c r="A118" s="43"/>
      <c r="B118" s="47" t="s">
        <v>271</v>
      </c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3"/>
      <c r="AF118" s="43"/>
    </row>
    <row r="119" spans="1:32" ht="3.7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</row>
    <row r="120" spans="1:32">
      <c r="A120" s="31"/>
      <c r="B120" s="48" t="s">
        <v>272</v>
      </c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31"/>
      <c r="AF120" s="31"/>
    </row>
    <row r="121" spans="1:32" ht="12" customHeight="1">
      <c r="A121" s="31"/>
      <c r="B121" s="48" t="s">
        <v>308</v>
      </c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31"/>
      <c r="AF121" s="31"/>
    </row>
  </sheetData>
  <mergeCells count="302">
    <mergeCell ref="A1:AF1"/>
    <mergeCell ref="AI1:BN1"/>
    <mergeCell ref="A3:C3"/>
    <mergeCell ref="D3:H3"/>
    <mergeCell ref="K3:P3"/>
    <mergeCell ref="Q3:U3"/>
    <mergeCell ref="V3:AA3"/>
    <mergeCell ref="AB3:AF3"/>
    <mergeCell ref="AI3:AK3"/>
    <mergeCell ref="AL3:AP3"/>
    <mergeCell ref="AS3:AX3"/>
    <mergeCell ref="AY3:BC3"/>
    <mergeCell ref="BD3:BI3"/>
    <mergeCell ref="BJ3:BN3"/>
    <mergeCell ref="A5:F5"/>
    <mergeCell ref="G5:AF5"/>
    <mergeCell ref="AI5:AN5"/>
    <mergeCell ref="AO5:BN5"/>
    <mergeCell ref="A6:F6"/>
    <mergeCell ref="G6:N6"/>
    <mergeCell ref="O6:Q6"/>
    <mergeCell ref="R6:T6"/>
    <mergeCell ref="U6:W6"/>
    <mergeCell ref="X6:Z6"/>
    <mergeCell ref="AZ6:BB6"/>
    <mergeCell ref="A4:F4"/>
    <mergeCell ref="G4:J4"/>
    <mergeCell ref="K4:P4"/>
    <mergeCell ref="Q4:U4"/>
    <mergeCell ref="V4:AA4"/>
    <mergeCell ref="AB4:AF4"/>
    <mergeCell ref="AI4:AN4"/>
    <mergeCell ref="AO4:AR4"/>
    <mergeCell ref="AS4:AX4"/>
    <mergeCell ref="AY4:BC4"/>
    <mergeCell ref="BD4:BI4"/>
    <mergeCell ref="BJ4:BN4"/>
    <mergeCell ref="AS7:AU7"/>
    <mergeCell ref="AV7:BN7"/>
    <mergeCell ref="A8:F8"/>
    <mergeCell ref="G8:AF8"/>
    <mergeCell ref="AI8:AN8"/>
    <mergeCell ref="AO8:BN8"/>
    <mergeCell ref="BC6:BE6"/>
    <mergeCell ref="BF6:BH6"/>
    <mergeCell ref="BI6:BK6"/>
    <mergeCell ref="BL6:BN6"/>
    <mergeCell ref="A7:F7"/>
    <mergeCell ref="G7:J7"/>
    <mergeCell ref="K7:M7"/>
    <mergeCell ref="N7:AF7"/>
    <mergeCell ref="AI7:AN7"/>
    <mergeCell ref="AO7:AR7"/>
    <mergeCell ref="AA6:AC6"/>
    <mergeCell ref="AD6:AF6"/>
    <mergeCell ref="AI6:AN6"/>
    <mergeCell ref="AO6:AV6"/>
    <mergeCell ref="AW6:AY6"/>
    <mergeCell ref="Q12:AE12"/>
    <mergeCell ref="B13:M13"/>
    <mergeCell ref="N13:P13"/>
    <mergeCell ref="Q13:AE13"/>
    <mergeCell ref="AI13:AK13"/>
    <mergeCell ref="AL13:AN13"/>
    <mergeCell ref="B10:E10"/>
    <mergeCell ref="F10:H10"/>
    <mergeCell ref="J10:N10"/>
    <mergeCell ref="O10:P10"/>
    <mergeCell ref="B12:M12"/>
    <mergeCell ref="N12:P12"/>
    <mergeCell ref="V18:Z18"/>
    <mergeCell ref="AA18:AE18"/>
    <mergeCell ref="N19:P19"/>
    <mergeCell ref="B14:M14"/>
    <mergeCell ref="N14:P14"/>
    <mergeCell ref="Q14:AE14"/>
    <mergeCell ref="AI14:AK14"/>
    <mergeCell ref="AL14:AN14"/>
    <mergeCell ref="B16:AE16"/>
    <mergeCell ref="V21:Z21"/>
    <mergeCell ref="AA21:AE21"/>
    <mergeCell ref="B22:M22"/>
    <mergeCell ref="N22:P22"/>
    <mergeCell ref="Q22:U22"/>
    <mergeCell ref="V22:Z22"/>
    <mergeCell ref="AA22:AE22"/>
    <mergeCell ref="Q19:U19"/>
    <mergeCell ref="V19:Z19"/>
    <mergeCell ref="AA19:AE19"/>
    <mergeCell ref="B20:M21"/>
    <mergeCell ref="N20:P20"/>
    <mergeCell ref="Q20:U20"/>
    <mergeCell ref="V20:Z20"/>
    <mergeCell ref="AA20:AE20"/>
    <mergeCell ref="N21:P21"/>
    <mergeCell ref="Q21:U21"/>
    <mergeCell ref="B17:M19"/>
    <mergeCell ref="N17:P17"/>
    <mergeCell ref="Q17:U17"/>
    <mergeCell ref="V17:Z17"/>
    <mergeCell ref="AA17:AE17"/>
    <mergeCell ref="N18:P18"/>
    <mergeCell ref="Q18:U18"/>
    <mergeCell ref="B26:M26"/>
    <mergeCell ref="N26:P26"/>
    <mergeCell ref="Q26:U26"/>
    <mergeCell ref="V26:Z26"/>
    <mergeCell ref="AA26:AE26"/>
    <mergeCell ref="G28:AE29"/>
    <mergeCell ref="B24:AE24"/>
    <mergeCell ref="B25:M25"/>
    <mergeCell ref="N25:P25"/>
    <mergeCell ref="Q25:U25"/>
    <mergeCell ref="V25:Z25"/>
    <mergeCell ref="AA25:AE25"/>
    <mergeCell ref="H32:J32"/>
    <mergeCell ref="B33:AE33"/>
    <mergeCell ref="B34:M36"/>
    <mergeCell ref="N34:P34"/>
    <mergeCell ref="Q34:U34"/>
    <mergeCell ref="V34:Z34"/>
    <mergeCell ref="AA34:AE34"/>
    <mergeCell ref="N35:P35"/>
    <mergeCell ref="Q35:U35"/>
    <mergeCell ref="V35:Z35"/>
    <mergeCell ref="AA35:AE35"/>
    <mergeCell ref="N36:P36"/>
    <mergeCell ref="Q36:U36"/>
    <mergeCell ref="V36:Z36"/>
    <mergeCell ref="AA36:AE36"/>
    <mergeCell ref="B37:M38"/>
    <mergeCell ref="N37:P37"/>
    <mergeCell ref="Q37:U37"/>
    <mergeCell ref="V37:Z37"/>
    <mergeCell ref="AA37:AE37"/>
    <mergeCell ref="N38:P38"/>
    <mergeCell ref="Q38:U38"/>
    <mergeCell ref="V38:Z38"/>
    <mergeCell ref="AA38:AE38"/>
    <mergeCell ref="B39:M39"/>
    <mergeCell ref="N39:P39"/>
    <mergeCell ref="Q39:U39"/>
    <mergeCell ref="V39:Z39"/>
    <mergeCell ref="AA39:AE39"/>
    <mergeCell ref="B43:M43"/>
    <mergeCell ref="N43:P43"/>
    <mergeCell ref="Q43:U43"/>
    <mergeCell ref="V43:Z43"/>
    <mergeCell ref="AA43:AE43"/>
    <mergeCell ref="G45:AE45"/>
    <mergeCell ref="B41:AE41"/>
    <mergeCell ref="B42:M42"/>
    <mergeCell ref="N42:P42"/>
    <mergeCell ref="Q42:U42"/>
    <mergeCell ref="V42:Z42"/>
    <mergeCell ref="AA42:AE42"/>
    <mergeCell ref="A57:AF57"/>
    <mergeCell ref="A58:R60"/>
    <mergeCell ref="S58:AF61"/>
    <mergeCell ref="A61:R61"/>
    <mergeCell ref="AB65:AF65"/>
    <mergeCell ref="Z62:AB62"/>
    <mergeCell ref="AC62:AF62"/>
    <mergeCell ref="A64:C64"/>
    <mergeCell ref="D64:H64"/>
    <mergeCell ref="K64:P64"/>
    <mergeCell ref="Q64:U64"/>
    <mergeCell ref="V64:AA64"/>
    <mergeCell ref="AB64:AF64"/>
    <mergeCell ref="A62:C62"/>
    <mergeCell ref="D62:H62"/>
    <mergeCell ref="I62:L62"/>
    <mergeCell ref="M62:P62"/>
    <mergeCell ref="Q62:T62"/>
    <mergeCell ref="U62:Y62"/>
    <mergeCell ref="A65:F65"/>
    <mergeCell ref="G65:J65"/>
    <mergeCell ref="K65:P65"/>
    <mergeCell ref="Q65:U65"/>
    <mergeCell ref="V65:AA65"/>
    <mergeCell ref="A68:F68"/>
    <mergeCell ref="G68:J68"/>
    <mergeCell ref="K68:M68"/>
    <mergeCell ref="N68:AF68"/>
    <mergeCell ref="A69:F69"/>
    <mergeCell ref="G69:AF69"/>
    <mergeCell ref="A66:F66"/>
    <mergeCell ref="G66:AF66"/>
    <mergeCell ref="A67:F67"/>
    <mergeCell ref="G67:N67"/>
    <mergeCell ref="O67:Q67"/>
    <mergeCell ref="R67:T67"/>
    <mergeCell ref="U67:W67"/>
    <mergeCell ref="X67:Z67"/>
    <mergeCell ref="AA67:AC67"/>
    <mergeCell ref="AD67:AF67"/>
    <mergeCell ref="B75:M75"/>
    <mergeCell ref="N75:P75"/>
    <mergeCell ref="Q75:AE75"/>
    <mergeCell ref="B76:M76"/>
    <mergeCell ref="N76:P76"/>
    <mergeCell ref="Q76:AE76"/>
    <mergeCell ref="B71:AE71"/>
    <mergeCell ref="B73:E73"/>
    <mergeCell ref="F73:H73"/>
    <mergeCell ref="J73:N73"/>
    <mergeCell ref="O73:P73"/>
    <mergeCell ref="R73:V73"/>
    <mergeCell ref="W73:X73"/>
    <mergeCell ref="Z73:AB73"/>
    <mergeCell ref="AC73:AE73"/>
    <mergeCell ref="B77:M77"/>
    <mergeCell ref="N77:P77"/>
    <mergeCell ref="Q77:AE77"/>
    <mergeCell ref="B79:AE79"/>
    <mergeCell ref="B80:M80"/>
    <mergeCell ref="N80:P80"/>
    <mergeCell ref="Q80:U80"/>
    <mergeCell ref="V80:Z80"/>
    <mergeCell ref="AA80:AE80"/>
    <mergeCell ref="B81:M81"/>
    <mergeCell ref="N81:P81"/>
    <mergeCell ref="Q81:U81"/>
    <mergeCell ref="V81:Z81"/>
    <mergeCell ref="AA81:AE81"/>
    <mergeCell ref="B82:M82"/>
    <mergeCell ref="N82:P82"/>
    <mergeCell ref="Q82:U82"/>
    <mergeCell ref="V82:Z82"/>
    <mergeCell ref="AA82:AE82"/>
    <mergeCell ref="B83:M83"/>
    <mergeCell ref="N83:P83"/>
    <mergeCell ref="Q83:U83"/>
    <mergeCell ref="V83:Z83"/>
    <mergeCell ref="AA83:AE83"/>
    <mergeCell ref="B84:M84"/>
    <mergeCell ref="N84:P84"/>
    <mergeCell ref="Q84:U84"/>
    <mergeCell ref="V84:Z84"/>
    <mergeCell ref="AA84:AE84"/>
    <mergeCell ref="B88:AE88"/>
    <mergeCell ref="B89:M89"/>
    <mergeCell ref="N89:P89"/>
    <mergeCell ref="Q89:U89"/>
    <mergeCell ref="V89:Z89"/>
    <mergeCell ref="AA89:AE89"/>
    <mergeCell ref="B85:M85"/>
    <mergeCell ref="N85:P85"/>
    <mergeCell ref="Q85:U85"/>
    <mergeCell ref="V85:Z85"/>
    <mergeCell ref="AA85:AE85"/>
    <mergeCell ref="B86:M86"/>
    <mergeCell ref="N86:P86"/>
    <mergeCell ref="Q86:U86"/>
    <mergeCell ref="V86:Z86"/>
    <mergeCell ref="AA86:AE86"/>
    <mergeCell ref="B90:M90"/>
    <mergeCell ref="N90:P90"/>
    <mergeCell ref="Q90:U90"/>
    <mergeCell ref="V90:Z90"/>
    <mergeCell ref="AA90:AE90"/>
    <mergeCell ref="B91:M91"/>
    <mergeCell ref="N91:P91"/>
    <mergeCell ref="Q91:U91"/>
    <mergeCell ref="V91:Z91"/>
    <mergeCell ref="AA91:AE91"/>
    <mergeCell ref="B92:M92"/>
    <mergeCell ref="N92:P92"/>
    <mergeCell ref="Q92:U92"/>
    <mergeCell ref="V92:Z92"/>
    <mergeCell ref="AA92:AE92"/>
    <mergeCell ref="B93:M93"/>
    <mergeCell ref="N93:P93"/>
    <mergeCell ref="Q93:U93"/>
    <mergeCell ref="V93:Z93"/>
    <mergeCell ref="AA93:AE93"/>
    <mergeCell ref="G99:AE100"/>
    <mergeCell ref="B102:I102"/>
    <mergeCell ref="J102:AE102"/>
    <mergeCell ref="G104:AE104"/>
    <mergeCell ref="T107:AE108"/>
    <mergeCell ref="T109:AE109"/>
    <mergeCell ref="B94:M94"/>
    <mergeCell ref="N94:P94"/>
    <mergeCell ref="Q94:U94"/>
    <mergeCell ref="V94:Z94"/>
    <mergeCell ref="AA94:AE94"/>
    <mergeCell ref="B96:W97"/>
    <mergeCell ref="X96:AA96"/>
    <mergeCell ref="AB96:AE96"/>
    <mergeCell ref="X97:AA97"/>
    <mergeCell ref="AB97:AE97"/>
    <mergeCell ref="A117:AF117"/>
    <mergeCell ref="B118:AD118"/>
    <mergeCell ref="B120:AD120"/>
    <mergeCell ref="B121:AD121"/>
    <mergeCell ref="U110:AD110"/>
    <mergeCell ref="U111:AD111"/>
    <mergeCell ref="B112:AD112"/>
    <mergeCell ref="B113:AD113"/>
    <mergeCell ref="A115:AF115"/>
    <mergeCell ref="A116:AF116"/>
  </mergeCells>
  <printOptions horizontalCentered="1" verticalCentered="1"/>
  <pageMargins left="0.23622047244094491" right="0.23622047244094491" top="0.23622047244094491" bottom="0.23622047244094491" header="0" footer="0"/>
  <pageSetup paperSize="9" orientation="portrait" r:id="rId1"/>
  <headerFooter>
    <oddHeader>&amp;C&amp;G</oddHeader>
  </headerFooter>
  <drawing r:id="rId2"/>
  <legacy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INV410 C</vt:lpstr>
      <vt:lpstr>INV E 410</vt:lpstr>
      <vt:lpstr>Pendientes_Generar</vt:lpstr>
      <vt:lpstr>Data_final</vt:lpstr>
      <vt:lpstr>INV410INF</vt:lpstr>
      <vt:lpstr>INV410INF!Área_de_impresión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Idicol SAS</dc:creator>
  <cp:lastModifiedBy>JOHN ALEXANDER RODRIGUEZ PARAMO</cp:lastModifiedBy>
  <dcterms:created xsi:type="dcterms:W3CDTF">2026-04-04T04:54:57Z</dcterms:created>
  <dcterms:modified xsi:type="dcterms:W3CDTF">2026-04-06T13:46:09Z</dcterms:modified>
</cp:coreProperties>
</file>