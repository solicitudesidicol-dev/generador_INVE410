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2592-2026\"/>
    </mc:Choice>
  </mc:AlternateContent>
  <xr:revisionPtr revIDLastSave="0" documentId="8_{349A6B7D-5945-4213-AB62-BBFACDC2BB94}" xr6:coauthVersionLast="47" xr6:coauthVersionMax="47" xr10:uidLastSave="{00000000-0000-0000-0000-000000000000}"/>
  <bookViews>
    <workbookView xWindow="-108" yWindow="-108" windowWidth="23256" windowHeight="12456" xr2:uid="{45F7464C-1754-4966-8604-E6A203FFB192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V89" i="1"/>
  <c r="V91" i="1" s="1"/>
  <c r="Q89" i="1"/>
  <c r="AA83" i="1"/>
  <c r="V83" i="1"/>
  <c r="Q83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AA82" i="1" s="1"/>
  <c r="AA85" i="1" s="1"/>
  <c r="V37" i="1"/>
  <c r="V82" i="1" s="1"/>
  <c r="V85" i="1" s="1"/>
  <c r="Q37" i="1"/>
  <c r="Q82" i="1" s="1"/>
  <c r="Q85" i="1" s="1"/>
  <c r="AA36" i="1"/>
  <c r="V36" i="1"/>
  <c r="Q36" i="1"/>
  <c r="AA35" i="1"/>
  <c r="V35" i="1"/>
  <c r="Q35" i="1"/>
  <c r="AA34" i="1"/>
  <c r="AA81" i="1" s="1"/>
  <c r="AA84" i="1" s="1"/>
  <c r="AA90" i="1" s="1"/>
  <c r="V34" i="1"/>
  <c r="V81" i="1" s="1"/>
  <c r="V84" i="1" s="1"/>
  <c r="V90" i="1" s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V92" i="1" l="1"/>
  <c r="V93" i="1"/>
  <c r="BW4" i="1"/>
  <c r="D3" i="1" s="1"/>
  <c r="D64" i="1" s="1"/>
  <c r="T107" i="1" s="1"/>
  <c r="BW5" i="1"/>
  <c r="AA91" i="1"/>
  <c r="Q91" i="1"/>
  <c r="AA86" i="1"/>
  <c r="V86" i="1"/>
  <c r="Q86" i="1"/>
  <c r="AA93" i="1" l="1"/>
  <c r="AA92" i="1"/>
  <c r="Q93" i="1"/>
  <c r="AB97" i="1" s="1"/>
  <c r="Q92" i="1"/>
  <c r="AB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838A962F-E882-47D6-908D-AB9326EAC35F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1E9F67BC-EBA0-4D16-8FD2-DCFF28F875F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5BB574AC-0C68-47CF-A17E-DE072437001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D6240DB5-56F7-4865-AE69-85CB5537047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1A4EE9ED-3229-4F7E-9FDF-79CE0DCE3A8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94394D69-0FF3-49AE-B9A7-9E0DC14039B7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2712816F-F904-4A06-9D81-096BAC107EC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AE9E4ACF-4349-454B-8D84-67D403E7DD2B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E8008DE9-A9C8-4E62-8273-037E86A5821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F4CA88D4-D8B2-47A8-95D0-52988C90DE1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90F20056-346A-45DE-915D-C207736E7ED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98A8095F-5174-43DA-B388-EE13B6C4A08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04D9928D-DC26-42DA-BA8A-0F7DBF66A050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26D457B4-B278-448B-9219-1E89F38D60A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680CD5E6-057E-43C9-BDE8-4D839CEC603A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<sst xmlns="http://schemas.openxmlformats.org/spreadsheetml/2006/main" count="205" uniqueCount="131">
  <si>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</si>
  <si>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</si>
  <si>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ECD-0072592</t>
  </si>
  <si>
    <t>73365</t>
  </si>
  <si>
    <t>ID Informe:</t>
  </si>
  <si>
    <t>-</t>
  </si>
  <si>
    <t>Orden de ingreso:</t>
  </si>
  <si>
    <t>R-5582-1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</si>
  <si>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</si>
  <si>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</si>
  <si>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</si>
  <si>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</si>
  <si>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</si>
  <si>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</si>
  <si>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</si>
  <si>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</si>
  <si>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</si>
  <si>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</si>
  <si>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</si>
  <si>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</si>
  <si>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</si>
  <si>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</si>
  <si>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</si>
  <si>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</si>
  <si>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</si>
  <si>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</si>
  <si>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</si>
  <si>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</si>
  <si>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</si>
  <si>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</si>
  <si>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</si>
  <si>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</si>
  <si>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</si>
  <si>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</si>
  <si>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</si>
  <si>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</si>
  <si>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</si>
  <si>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</si>
  <si>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</si>
  <si>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</si>
  <si>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</si>
  <si>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</si>
  <si>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</si>
  <si>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</si>
  <si>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</si>
  <si>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</si>
  <si>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84 -M134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</si>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</sst>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7F-4736-93B5-BA8A8687B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D9FFA08D-77D0-4C2F-9F21-4D6DB8A84A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26E316-D7BB-46E1-9D6E-900BDE9B6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196779-1AC5-4BEA-B9B2-C812E6722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0708DC-4D3F-419A-8A65-48063FFF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4DE1-DB65-4B02-A101-BC9CBB220D3A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ID-0072592-2026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ID-0072592-2026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84 -M134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202.46</v>
      </c>
      <c r="R17" s="62"/>
      <c r="S17" s="62"/>
      <c r="T17" s="62"/>
      <c r="U17" s="62"/>
      <c r="V17" s="62">
        <v>201.48</v>
      </c>
      <c r="W17" s="62"/>
      <c r="X17" s="62"/>
      <c r="Y17" s="62"/>
      <c r="Z17" s="62"/>
      <c r="AA17" s="43">
        <v>202.58</v>
      </c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201.74</v>
      </c>
      <c r="R18" s="62"/>
      <c r="S18" s="62"/>
      <c r="T18" s="62"/>
      <c r="U18" s="62"/>
      <c r="V18" s="62">
        <v>202.48</v>
      </c>
      <c r="W18" s="62"/>
      <c r="X18" s="62"/>
      <c r="Y18" s="62"/>
      <c r="Z18" s="62"/>
      <c r="AA18" s="43">
        <v>201.32</v>
      </c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202.58</v>
      </c>
      <c r="R19" s="62"/>
      <c r="S19" s="62"/>
      <c r="T19" s="62"/>
      <c r="U19" s="62"/>
      <c r="V19" s="62">
        <v>201.52</v>
      </c>
      <c r="W19" s="62"/>
      <c r="X19" s="62"/>
      <c r="Y19" s="62"/>
      <c r="Z19" s="62"/>
      <c r="AA19" s="43">
        <v>202.68</v>
      </c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102.54</v>
      </c>
      <c r="R20" s="69"/>
      <c r="S20" s="69"/>
      <c r="T20" s="69"/>
      <c r="U20" s="69"/>
      <c r="V20" s="69">
        <v>101.46</v>
      </c>
      <c r="W20" s="69"/>
      <c r="X20" s="69"/>
      <c r="Y20" s="69"/>
      <c r="Z20" s="69"/>
      <c r="AA20" s="38">
        <v>102.56</v>
      </c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101.32</v>
      </c>
      <c r="R21" s="69"/>
      <c r="S21" s="69"/>
      <c r="T21" s="69"/>
      <c r="U21" s="69"/>
      <c r="V21" s="69">
        <v>102.42</v>
      </c>
      <c r="W21" s="69"/>
      <c r="X21" s="69"/>
      <c r="Y21" s="69"/>
      <c r="Z21" s="69"/>
      <c r="AA21" s="38">
        <v>101.74</v>
      </c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3654</v>
      </c>
      <c r="R22" s="62"/>
      <c r="S22" s="62"/>
      <c r="T22" s="62"/>
      <c r="U22" s="62"/>
      <c r="V22" s="62">
        <v>3655</v>
      </c>
      <c r="W22" s="62"/>
      <c r="X22" s="62"/>
      <c r="Y22" s="62"/>
      <c r="Z22" s="62"/>
      <c r="AA22" s="62">
        <v>3676</v>
      </c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297.10000000000002</v>
      </c>
      <c r="R25" s="43"/>
      <c r="S25" s="43"/>
      <c r="T25" s="43"/>
      <c r="U25" s="43"/>
      <c r="V25" s="43">
        <v>294.89999999999998</v>
      </c>
      <c r="W25" s="43"/>
      <c r="X25" s="43"/>
      <c r="Y25" s="43"/>
      <c r="Z25" s="43"/>
      <c r="AA25" s="43">
        <v>310.7</v>
      </c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4</v>
      </c>
      <c r="R26" s="62"/>
      <c r="S26" s="62"/>
      <c r="T26" s="62"/>
      <c r="U26" s="62"/>
      <c r="V26" s="62">
        <v>4</v>
      </c>
      <c r="W26" s="62"/>
      <c r="X26" s="62"/>
      <c r="Y26" s="62"/>
      <c r="Z26" s="62"/>
      <c r="AA26" s="62">
        <v>4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202.46</v>
      </c>
      <c r="R34" s="69"/>
      <c r="S34" s="69"/>
      <c r="T34" s="69"/>
      <c r="U34" s="69"/>
      <c r="V34" s="69">
        <f t="shared" ref="V34:V39" si="1">+_xlfn.NUMBERVALUE(V17)</f>
        <v>201.48</v>
      </c>
      <c r="W34" s="69"/>
      <c r="X34" s="69"/>
      <c r="Y34" s="69"/>
      <c r="Z34" s="69"/>
      <c r="AA34" s="69">
        <f t="shared" ref="AA34:AA39" si="2">+_xlfn.NUMBERVALUE(AA17)</f>
        <v>202.58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201.74</v>
      </c>
      <c r="R35" s="69"/>
      <c r="S35" s="69"/>
      <c r="T35" s="69"/>
      <c r="U35" s="69"/>
      <c r="V35" s="69">
        <f t="shared" si="1"/>
        <v>202.48</v>
      </c>
      <c r="W35" s="69"/>
      <c r="X35" s="69"/>
      <c r="Y35" s="69"/>
      <c r="Z35" s="69"/>
      <c r="AA35" s="69">
        <f t="shared" si="2"/>
        <v>201.32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202.58</v>
      </c>
      <c r="R36" s="69"/>
      <c r="S36" s="69"/>
      <c r="T36" s="69"/>
      <c r="U36" s="69"/>
      <c r="V36" s="69">
        <f t="shared" si="1"/>
        <v>201.52</v>
      </c>
      <c r="W36" s="69"/>
      <c r="X36" s="69"/>
      <c r="Y36" s="69"/>
      <c r="Z36" s="69"/>
      <c r="AA36" s="69">
        <f t="shared" si="2"/>
        <v>202.68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102.54</v>
      </c>
      <c r="R37" s="69"/>
      <c r="S37" s="69"/>
      <c r="T37" s="69"/>
      <c r="U37" s="69"/>
      <c r="V37" s="69">
        <f t="shared" si="1"/>
        <v>101.46</v>
      </c>
      <c r="W37" s="69"/>
      <c r="X37" s="69"/>
      <c r="Y37" s="69"/>
      <c r="Z37" s="69"/>
      <c r="AA37" s="69">
        <f t="shared" si="2"/>
        <v>102.56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101.32</v>
      </c>
      <c r="R38" s="69"/>
      <c r="S38" s="69"/>
      <c r="T38" s="69"/>
      <c r="U38" s="69"/>
      <c r="V38" s="69">
        <f t="shared" si="1"/>
        <v>102.42</v>
      </c>
      <c r="W38" s="69"/>
      <c r="X38" s="69"/>
      <c r="Y38" s="69"/>
      <c r="Z38" s="69"/>
      <c r="AA38" s="69">
        <f t="shared" si="2"/>
        <v>101.74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3654</v>
      </c>
      <c r="R39" s="69"/>
      <c r="S39" s="69"/>
      <c r="T39" s="69"/>
      <c r="U39" s="69"/>
      <c r="V39" s="69">
        <f t="shared" si="1"/>
        <v>3655</v>
      </c>
      <c r="W39" s="69"/>
      <c r="X39" s="69"/>
      <c r="Y39" s="69"/>
      <c r="Z39" s="69"/>
      <c r="AA39" s="69">
        <f t="shared" si="2"/>
        <v>3676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297.10000000000002</v>
      </c>
      <c r="R42" s="69"/>
      <c r="S42" s="69"/>
      <c r="T42" s="69"/>
      <c r="U42" s="69"/>
      <c r="V42" s="69">
        <f>+_xlfn.NUMBERVALUE(V25)</f>
        <v>294.89999999999998</v>
      </c>
      <c r="W42" s="69"/>
      <c r="X42" s="69"/>
      <c r="Y42" s="69"/>
      <c r="Z42" s="69"/>
      <c r="AA42" s="69">
        <f>+_xlfn.NUMBERVALUE(AA25)</f>
        <v>310.7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4</v>
      </c>
      <c r="R43" s="69"/>
      <c r="S43" s="69"/>
      <c r="T43" s="69"/>
      <c r="U43" s="69"/>
      <c r="V43" s="69">
        <f>+_xlfn.NUMBERVALUE(V26)</f>
        <v>4</v>
      </c>
      <c r="W43" s="69"/>
      <c r="X43" s="69"/>
      <c r="Y43" s="69"/>
      <c r="Z43" s="69"/>
      <c r="AA43" s="69">
        <f>+_xlfn.NUMBERVALUE(AA26)</f>
        <v>4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ID-0072592-2026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R-5582-1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84 -M134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84 -M134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202</v>
      </c>
      <c r="R81" s="118"/>
      <c r="S81" s="118"/>
      <c r="T81" s="118"/>
      <c r="U81" s="118"/>
      <c r="V81" s="118">
        <f>+IF(V17=0,"",ROUND(AVERAGE(V34:Z36),0))</f>
        <v>202</v>
      </c>
      <c r="W81" s="118"/>
      <c r="X81" s="118"/>
      <c r="Y81" s="118"/>
      <c r="Z81" s="118"/>
      <c r="AA81" s="118">
        <f>+IF(AA17=0,"",ROUND(AVERAGE(AA34:AE36),0))</f>
        <v>202</v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101.93</v>
      </c>
      <c r="R82" s="138"/>
      <c r="S82" s="138"/>
      <c r="T82" s="138"/>
      <c r="U82" s="138"/>
      <c r="V82" s="138">
        <f>+IF(V20=0,"",ROUND(AVERAGE(V37:Z38),2))</f>
        <v>101.94</v>
      </c>
      <c r="W82" s="138"/>
      <c r="X82" s="138"/>
      <c r="Y82" s="138"/>
      <c r="Z82" s="138"/>
      <c r="AA82" s="138">
        <f>+IF(AA20=0,"",ROUND(AVERAGE(AA37:AE38),2))</f>
        <v>102.15</v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3654</v>
      </c>
      <c r="R83" s="118"/>
      <c r="S83" s="118"/>
      <c r="T83" s="118"/>
      <c r="U83" s="118"/>
      <c r="V83" s="118">
        <f>+IF(V22=0,"",V22)</f>
        <v>3655</v>
      </c>
      <c r="W83" s="118"/>
      <c r="X83" s="118"/>
      <c r="Y83" s="118"/>
      <c r="Z83" s="118"/>
      <c r="AA83" s="118">
        <f>+IF(AA22=0,"",AA22)</f>
        <v>3676</v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1.9817521828705973</v>
      </c>
      <c r="R84" s="117"/>
      <c r="S84" s="117"/>
      <c r="T84" s="117"/>
      <c r="U84" s="117"/>
      <c r="V84" s="117">
        <f>IF(V81="","",V81/V82)</f>
        <v>1.9815577790857368</v>
      </c>
      <c r="W84" s="117"/>
      <c r="X84" s="117"/>
      <c r="Y84" s="117"/>
      <c r="Z84" s="117"/>
      <c r="AA84" s="117">
        <f>IF(AA81="","",AA81/AA82)</f>
        <v>1.9774840920215369</v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8160.0708546647384</v>
      </c>
      <c r="R85" s="138"/>
      <c r="S85" s="138"/>
      <c r="T85" s="138"/>
      <c r="U85" s="138"/>
      <c r="V85" s="138">
        <f>IF(V82="","",(PI()*V82*V82)/4)</f>
        <v>8161.6720459004555</v>
      </c>
      <c r="W85" s="138"/>
      <c r="X85" s="138"/>
      <c r="Y85" s="138"/>
      <c r="Z85" s="138"/>
      <c r="AA85" s="117">
        <f>IF(AA82="","",(PI()*AA82*AA82)/4)</f>
        <v>8195.3333472456907</v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2216.7833139035033</v>
      </c>
      <c r="R86" s="118"/>
      <c r="S86" s="118"/>
      <c r="T86" s="118"/>
      <c r="U86" s="118"/>
      <c r="V86" s="118">
        <f>IF(V83="","",((V83/((V85*V81)))*1000)*1000)</f>
        <v>2216.9549700332664</v>
      </c>
      <c r="W86" s="118"/>
      <c r="X86" s="118"/>
      <c r="Y86" s="118"/>
      <c r="Z86" s="118"/>
      <c r="AA86" s="118">
        <f>IF(AA83="","",((AA83/((AA85*AA81)))*1000)*1000)</f>
        <v>2220.5344225682088</v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297.10000000000002</v>
      </c>
      <c r="R89" s="142"/>
      <c r="S89" s="142"/>
      <c r="T89" s="142"/>
      <c r="U89" s="142"/>
      <c r="V89" s="142">
        <f>IF(V25=0,"",V25)</f>
        <v>294.89999999999998</v>
      </c>
      <c r="W89" s="142"/>
      <c r="X89" s="142"/>
      <c r="Y89" s="142"/>
      <c r="Z89" s="142"/>
      <c r="AA89" s="142">
        <f>IF(AA25=0,"",AA25)</f>
        <v>310.7</v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0.99809865832144418</v>
      </c>
      <c r="R90" s="117"/>
      <c r="S90" s="117"/>
      <c r="T90" s="117"/>
      <c r="U90" s="117"/>
      <c r="V90" s="117">
        <f>IF(V84="","",(-0.1067*V84*V84*V84*V84)+(0.8*V84*V84*V84)-(2.2333*V84*V84)+(2.83*V84)-0.42)</f>
        <v>0.99808269154050322</v>
      </c>
      <c r="W90" s="117"/>
      <c r="X90" s="117"/>
      <c r="Y90" s="117"/>
      <c r="Z90" s="117"/>
      <c r="AA90" s="117">
        <f>IF(AA84="","",(-0.1067*AA84*AA84*AA84*AA84)+(0.8*AA84*AA84*AA84)-(2.2333*AA84*AA84)+(2.83*AA84)-0.42)</f>
        <v>0.99774826469258038</v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36.339771635412404</v>
      </c>
      <c r="R91" s="117"/>
      <c r="S91" s="117"/>
      <c r="T91" s="117"/>
      <c r="U91" s="117"/>
      <c r="V91" s="117">
        <f>IF(V89="","",(V89*1000/V85)*V90)</f>
        <v>36.063025331082301</v>
      </c>
      <c r="W91" s="117"/>
      <c r="X91" s="117"/>
      <c r="Y91" s="117"/>
      <c r="Z91" s="117"/>
      <c r="AA91" s="117">
        <f>IF(AA89="","",(AA89*1000/AA85)*AA90)</f>
        <v>37.826452287529037</v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5270.6477984569447</v>
      </c>
      <c r="R92" s="117"/>
      <c r="S92" s="117"/>
      <c r="T92" s="117"/>
      <c r="U92" s="117"/>
      <c r="V92" s="117">
        <f>IF(V91="","",V91*145.038)</f>
        <v>5230.5090679695149</v>
      </c>
      <c r="W92" s="117"/>
      <c r="X92" s="117"/>
      <c r="Y92" s="117"/>
      <c r="Z92" s="117"/>
      <c r="AA92" s="117">
        <f>IF(AA91="","",AA91*145.038)</f>
        <v>5486.2729868786364</v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131.76131847502685</v>
      </c>
      <c r="R93" s="146"/>
      <c r="S93" s="146"/>
      <c r="T93" s="146"/>
      <c r="U93" s="146"/>
      <c r="V93" s="146">
        <f>IF(V91="","",(V91/$O$73)*100)</f>
        <v>130.75788734982706</v>
      </c>
      <c r="W93" s="146"/>
      <c r="X93" s="146"/>
      <c r="Y93" s="146"/>
      <c r="Z93" s="146"/>
      <c r="AA93" s="146">
        <f>IF(AA91="","",(AA91/$O$73)*100)</f>
        <v>137.15174868574707</v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4</v>
      </c>
      <c r="R94" s="118"/>
      <c r="S94" s="118"/>
      <c r="T94" s="118"/>
      <c r="U94" s="118"/>
      <c r="V94" s="118">
        <f>IF(V26=0,"",V26)</f>
        <v>4</v>
      </c>
      <c r="W94" s="118"/>
      <c r="X94" s="118"/>
      <c r="Y94" s="118"/>
      <c r="Z94" s="118"/>
      <c r="AA94" s="118">
        <f>IF(AA26=0,"",AA26)</f>
        <v>4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36.743083084674581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133.22365150353366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ID-0072592-2026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2026-04-04T16:24:46Z</dcterms:created>
  <dcterms:modified xsi:type="dcterms:W3CDTF">2026-04-04T16:24:46Z</dcterms:modified>
</cp:coreProperties>
</file>