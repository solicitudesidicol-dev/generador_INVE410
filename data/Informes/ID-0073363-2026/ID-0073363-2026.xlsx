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73363-2026\"/>
    </mc:Choice>
  </mc:AlternateContent>
  <xr:revisionPtr revIDLastSave="0" documentId="8_{3F2A31A7-01B5-4B2F-9D2A-F206613D7364}" xr6:coauthVersionLast="47" xr6:coauthVersionMax="47" xr10:uidLastSave="{00000000-0000-0000-0000-000000000000}"/>
  <bookViews>
    <workbookView xWindow="-108" yWindow="-108" windowWidth="23256" windowHeight="12456" xr2:uid="{0B0A5824-048E-47E4-BD71-6878FC9C31D9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V89" i="1"/>
  <c r="Q89" i="1"/>
  <c r="AA83" i="1"/>
  <c r="V83" i="1"/>
  <c r="Q83" i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AA82" i="1" s="1"/>
  <c r="AA85" i="1" s="1"/>
  <c r="V37" i="1"/>
  <c r="V82" i="1" s="1"/>
  <c r="V85" i="1" s="1"/>
  <c r="Q37" i="1"/>
  <c r="Q82" i="1" s="1"/>
  <c r="Q85" i="1" s="1"/>
  <c r="AA36" i="1"/>
  <c r="V36" i="1"/>
  <c r="Q36" i="1"/>
  <c r="AA35" i="1"/>
  <c r="V35" i="1"/>
  <c r="Q35" i="1"/>
  <c r="AA34" i="1"/>
  <c r="AA81" i="1" s="1"/>
  <c r="AA84" i="1" s="1"/>
  <c r="AA90" i="1" s="1"/>
  <c r="V34" i="1"/>
  <c r="V81" i="1" s="1"/>
  <c r="V84" i="1" s="1"/>
  <c r="V90" i="1" s="1"/>
  <c r="Q34" i="1"/>
  <c r="Q81" i="1" s="1"/>
  <c r="Q84" i="1" s="1"/>
  <c r="Q90" i="1" s="1"/>
  <c r="AH26" i="1"/>
  <c r="AL14" i="1"/>
  <c r="Q14" i="1"/>
  <c r="Q77" i="1" s="1"/>
  <c r="N13" i="1"/>
  <c r="BY2" i="1"/>
  <c r="BY4" i="1" s="1"/>
  <c r="BW2" i="1"/>
  <c r="BW3" i="1" s="1"/>
  <c r="BV2" i="1"/>
  <c r="BW4" i="1" l="1"/>
  <c r="D3" i="1" s="1"/>
  <c r="D64" i="1" s="1"/>
  <c r="T107" i="1" s="1"/>
  <c r="BW5" i="1"/>
  <c r="AA91" i="1"/>
  <c r="Q91" i="1"/>
  <c r="AA86" i="1"/>
  <c r="V86" i="1"/>
  <c r="Q86" i="1"/>
  <c r="V91" i="1"/>
  <c r="AA93" i="1" l="1"/>
  <c r="AA92" i="1"/>
  <c r="Q93" i="1"/>
  <c r="AB97" i="1" s="1"/>
  <c r="AB96" i="1"/>
  <c r="Q92" i="1"/>
  <c r="V93" i="1"/>
  <c r="V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C31B47B8-0695-476E-809E-A2CC8F5A806C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288E7C71-3524-4281-ACB2-F61A5EB56F76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9FB81B87-07D7-4143-9E3D-C996773220B3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99A3E7F1-00AC-449A-8505-9FDCC79DDD7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242148FE-F606-4A52-B628-8ACEBB0D2B0B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07216F18-996C-4775-8F5D-6716A211B901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BD8E5EDC-35BA-42DD-B26F-46EDFAF3FBB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293D2AD5-4ABF-415A-94AC-D06E474611AC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25BAF586-946E-44E7-86CA-5332CEC91DC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CEE66FC3-717F-4B05-9E39-02A60233BAAE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04B390A0-3C69-409F-B5C1-4CAF51BD0317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FACA57C8-AAA1-4766-90C2-2C113BFB83DE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F4D2B5BC-CB10-465C-9718-34AA50BF3D08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5050A38C-3C7D-48C7-930B-64FFE44468D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2236AA15-BFAE-4425-8297-9F3D18498479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<sst xmlns="http://schemas.openxmlformats.org/spreadsheetml/2006/main" count="204" uniqueCount="130">
  <si>
    <t>INGRESO DE DATOS DE ENSAYO</t>
  </si>
  <si>
    <t>EJEMPLO DE DILIGENCIAMIENTO DEL ENCABEZADO</t>
  </si>
  <si>
    <t>ECD-0073363</t>
  </si>
  <si>
    <t>73365</t>
  </si>
  <si>
    <t>ID Informe:</t>
  </si>
  <si>
    <t>-</t>
  </si>
  <si>
    <t>Orden de ingreso:</t>
  </si>
  <si>
    <t>R-5763-1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</si>
  <si>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</si>
  <si>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</si>
  <si>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</si>
  <si>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</si>
  <si>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</si>
  <si>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</si>
  <si>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</si>
  <si>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</si>
  <si>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</si>
  <si>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</si>
  <si>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</si>
  <si>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</si>
  <si>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HORMIGON REFORZADO SAS</t>
  </si>
  <si>
    <t>ESTRUCTURAS SOSTENIBLES SAS</t>
  </si>
  <si>
    <t>Dirección:</t>
  </si>
  <si>
    <t>Cra 9 # 113- 52 P 21 Ed to Unidas 2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</si>
  <si>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</si>
  <si>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</si>
  <si>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</si>
  <si>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</si>
  <si>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</si>
  <si>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</si>
  <si>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</si>
  <si>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</si>
  <si>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</si>
  <si>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</si>
  <si>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OB-003434</t>
  </si>
  <si>
    <t>Obra</t>
  </si>
  <si>
    <t xml:space="preserve">EDIFICIO 109- 110 PATIO TALLER METRO </t>
  </si>
  <si>
    <t>LOS PINOS</t>
  </si>
  <si>
    <t>Procedencia:</t>
  </si>
  <si>
    <t>M y A Group</t>
  </si>
  <si>
    <t>CEMEX / NO SE ESPECIFICA</t>
  </si>
  <si>
    <t>Fecha de toma</t>
  </si>
  <si>
    <t>Resistencia nominal (Mpa)</t>
  </si>
  <si>
    <t>a</t>
  </si>
  <si>
    <t>ID Muestra</t>
  </si>
  <si>
    <t>#</t>
  </si>
  <si>
    <t>Localización</t>
  </si>
  <si>
    <t xml:space="preserve">Edificio 110, Placa Superior cajas pozos de bombas eyectoras, PTAR, eje A entre ejes 1 y 3. 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</si>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</sst>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C2-4FAD-B953-6DC1F81F7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5A676D20-B496-47FA-940D-71C38343D2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DEAC2B-EA04-4D97-A0B2-F61D56E1A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BD73EAD-32B0-41B2-91C9-022BEC972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1654CB5-3DE5-4981-BE13-1B91814A6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61D3-5890-4332-A6DB-1B41F2EF919F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ID-0073363-2026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46104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46104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ID-0073363-2026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46097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>
        <v>62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46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>
        <f>+Q12</f>
        <v>62</v>
      </c>
      <c r="O13" s="28"/>
      <c r="P13" s="28"/>
      <c r="Q13" s="52" t="s">
        <v>47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48</v>
      </c>
      <c r="AJ13" s="53"/>
      <c r="AK13" s="53"/>
      <c r="AL13" s="53" t="s">
        <v>49</v>
      </c>
      <c r="AM13" s="53"/>
      <c r="AN13" s="53"/>
      <c r="AT13" s="41"/>
    </row>
    <row r="14" spans="1:77" ht="21.6" customHeight="1">
      <c r="B14" s="39" t="s">
        <v>50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51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52</v>
      </c>
      <c r="AN16" s="2" t="s">
        <v>53</v>
      </c>
    </row>
    <row r="17" spans="2:62" ht="14.4">
      <c r="B17" s="59" t="s">
        <v>54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55</v>
      </c>
      <c r="O17" s="28"/>
      <c r="P17" s="28"/>
      <c r="Q17" s="62">
        <v>201.36</v>
      </c>
      <c r="R17" s="62"/>
      <c r="S17" s="62"/>
      <c r="T17" s="62"/>
      <c r="U17" s="62"/>
      <c r="V17" s="62">
        <v>201.52</v>
      </c>
      <c r="W17" s="62"/>
      <c r="X17" s="62"/>
      <c r="Y17" s="62"/>
      <c r="Z17" s="62"/>
      <c r="AA17" s="43">
        <v>201.34</v>
      </c>
      <c r="AB17" s="43"/>
      <c r="AC17" s="43"/>
      <c r="AD17" s="43"/>
      <c r="AE17" s="43"/>
      <c r="AH17" s="41" t="s">
        <v>56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57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55</v>
      </c>
      <c r="O18" s="28"/>
      <c r="P18" s="28"/>
      <c r="Q18" s="62">
        <v>202.54</v>
      </c>
      <c r="R18" s="62"/>
      <c r="S18" s="62"/>
      <c r="T18" s="62"/>
      <c r="U18" s="62"/>
      <c r="V18" s="62">
        <v>202.36</v>
      </c>
      <c r="W18" s="62"/>
      <c r="X18" s="62"/>
      <c r="Y18" s="62"/>
      <c r="Z18" s="62"/>
      <c r="AA18" s="43">
        <v>202.62</v>
      </c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58</v>
      </c>
      <c r="BA18" s="2" t="s">
        <v>59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55</v>
      </c>
      <c r="O19" s="28"/>
      <c r="P19" s="28"/>
      <c r="Q19" s="62">
        <v>201.66</v>
      </c>
      <c r="R19" s="62"/>
      <c r="S19" s="62"/>
      <c r="T19" s="62"/>
      <c r="U19" s="62"/>
      <c r="V19" s="62">
        <v>201.74</v>
      </c>
      <c r="W19" s="62"/>
      <c r="X19" s="62"/>
      <c r="Y19" s="62"/>
      <c r="Z19" s="62"/>
      <c r="AA19" s="43">
        <v>201.46</v>
      </c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60</v>
      </c>
      <c r="BA19" s="2" t="s">
        <v>61</v>
      </c>
    </row>
    <row r="20" spans="2:62" ht="14.4">
      <c r="B20" s="59" t="s">
        <v>62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55</v>
      </c>
      <c r="O20" s="28"/>
      <c r="P20" s="28"/>
      <c r="Q20" s="69">
        <v>101.56</v>
      </c>
      <c r="R20" s="69"/>
      <c r="S20" s="69"/>
      <c r="T20" s="69"/>
      <c r="U20" s="69"/>
      <c r="V20" s="69">
        <v>102.48</v>
      </c>
      <c r="W20" s="69"/>
      <c r="X20" s="69"/>
      <c r="Y20" s="69"/>
      <c r="Z20" s="69"/>
      <c r="AA20" s="38">
        <v>101.66</v>
      </c>
      <c r="AB20" s="38"/>
      <c r="AC20" s="38"/>
      <c r="AD20" s="38"/>
      <c r="AE20" s="38"/>
      <c r="AH20" s="41" t="s">
        <v>63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64</v>
      </c>
      <c r="BA20" s="2" t="s">
        <v>65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55</v>
      </c>
      <c r="O21" s="28"/>
      <c r="P21" s="28"/>
      <c r="Q21" s="69">
        <v>102.72</v>
      </c>
      <c r="R21" s="69"/>
      <c r="S21" s="69"/>
      <c r="T21" s="69"/>
      <c r="U21" s="69"/>
      <c r="V21" s="69">
        <v>101.36</v>
      </c>
      <c r="W21" s="69"/>
      <c r="X21" s="69"/>
      <c r="Y21" s="69"/>
      <c r="Z21" s="69"/>
      <c r="AA21" s="38">
        <v>102.42</v>
      </c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66</v>
      </c>
      <c r="BA21" s="2" t="s">
        <v>67</v>
      </c>
    </row>
    <row r="22" spans="2:62" ht="14.4">
      <c r="B22" s="70" t="s">
        <v>68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69</v>
      </c>
      <c r="O22" s="28"/>
      <c r="P22" s="28"/>
      <c r="Q22" s="62">
        <v>3655</v>
      </c>
      <c r="R22" s="62"/>
      <c r="S22" s="62"/>
      <c r="T22" s="62"/>
      <c r="U22" s="62"/>
      <c r="V22" s="62">
        <v>3655</v>
      </c>
      <c r="W22" s="62"/>
      <c r="X22" s="62"/>
      <c r="Y22" s="62"/>
      <c r="Z22" s="62"/>
      <c r="AA22" s="62">
        <v>3548</v>
      </c>
      <c r="AB22" s="62"/>
      <c r="AC22" s="62"/>
      <c r="AD22" s="62"/>
      <c r="AE22" s="62"/>
      <c r="AH22" s="41" t="s">
        <v>70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71</v>
      </c>
      <c r="BA22" s="2" t="s">
        <v>72</v>
      </c>
    </row>
    <row r="23" spans="2:62" ht="15" thickBot="1">
      <c r="AH23" s="41" t="s">
        <v>73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69</v>
      </c>
      <c r="BA23" s="2" t="s">
        <v>74</v>
      </c>
    </row>
    <row r="24" spans="2:62" ht="14.4">
      <c r="B24" s="56" t="s">
        <v>75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76</v>
      </c>
      <c r="BA24" s="2" t="s">
        <v>77</v>
      </c>
    </row>
    <row r="25" spans="2:62">
      <c r="B25" s="71" t="s">
        <v>78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79</v>
      </c>
      <c r="O25" s="28"/>
      <c r="P25" s="28"/>
      <c r="Q25" s="43">
        <v>231.7</v>
      </c>
      <c r="R25" s="43"/>
      <c r="S25" s="43"/>
      <c r="T25" s="43"/>
      <c r="U25" s="43"/>
      <c r="V25" s="43">
        <v>207.5</v>
      </c>
      <c r="W25" s="43"/>
      <c r="X25" s="43"/>
      <c r="Y25" s="43"/>
      <c r="Z25" s="43"/>
      <c r="AA25" s="43">
        <v>207.9</v>
      </c>
      <c r="AB25" s="43"/>
      <c r="AC25" s="43"/>
      <c r="AD25" s="43"/>
      <c r="AE25" s="43"/>
    </row>
    <row r="26" spans="2:62">
      <c r="B26" s="72" t="s">
        <v>80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>
        <v>2</v>
      </c>
      <c r="W26" s="62"/>
      <c r="X26" s="62"/>
      <c r="Y26" s="62"/>
      <c r="Z26" s="62"/>
      <c r="AA26" s="62">
        <v>2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81</v>
      </c>
      <c r="C28" s="41"/>
      <c r="D28" s="74"/>
      <c r="E28" s="74"/>
      <c r="F28" s="74"/>
      <c r="G28" s="75" t="s">
        <v>82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51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54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55</v>
      </c>
      <c r="O34" s="28"/>
      <c r="P34" s="28"/>
      <c r="Q34" s="69">
        <f t="shared" ref="Q34:Q39" si="0">+_xlfn.NUMBERVALUE(Q17)</f>
        <v>201.36</v>
      </c>
      <c r="R34" s="69"/>
      <c r="S34" s="69"/>
      <c r="T34" s="69"/>
      <c r="U34" s="69"/>
      <c r="V34" s="69">
        <f t="shared" ref="V34:V39" si="1">+_xlfn.NUMBERVALUE(V17)</f>
        <v>201.52</v>
      </c>
      <c r="W34" s="69"/>
      <c r="X34" s="69"/>
      <c r="Y34" s="69"/>
      <c r="Z34" s="69"/>
      <c r="AA34" s="69">
        <f t="shared" ref="AA34:AA39" si="2">+_xlfn.NUMBERVALUE(AA17)</f>
        <v>201.34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55</v>
      </c>
      <c r="O35" s="28"/>
      <c r="P35" s="28"/>
      <c r="Q35" s="69">
        <f t="shared" si="0"/>
        <v>202.54</v>
      </c>
      <c r="R35" s="69"/>
      <c r="S35" s="69"/>
      <c r="T35" s="69"/>
      <c r="U35" s="69"/>
      <c r="V35" s="69">
        <f t="shared" si="1"/>
        <v>202.36</v>
      </c>
      <c r="W35" s="69"/>
      <c r="X35" s="69"/>
      <c r="Y35" s="69"/>
      <c r="Z35" s="69"/>
      <c r="AA35" s="69">
        <f t="shared" si="2"/>
        <v>202.62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55</v>
      </c>
      <c r="O36" s="28"/>
      <c r="P36" s="28"/>
      <c r="Q36" s="69">
        <f t="shared" si="0"/>
        <v>201.66</v>
      </c>
      <c r="R36" s="69"/>
      <c r="S36" s="69"/>
      <c r="T36" s="69"/>
      <c r="U36" s="69"/>
      <c r="V36" s="69">
        <f t="shared" si="1"/>
        <v>201.74</v>
      </c>
      <c r="W36" s="69"/>
      <c r="X36" s="69"/>
      <c r="Y36" s="69"/>
      <c r="Z36" s="69"/>
      <c r="AA36" s="69">
        <f t="shared" si="2"/>
        <v>201.46</v>
      </c>
      <c r="AB36" s="69"/>
      <c r="AC36" s="69"/>
      <c r="AD36" s="69"/>
      <c r="AE36" s="69"/>
    </row>
    <row r="37" spans="2:62">
      <c r="B37" s="59" t="s">
        <v>62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55</v>
      </c>
      <c r="O37" s="28"/>
      <c r="P37" s="28"/>
      <c r="Q37" s="69">
        <f t="shared" si="0"/>
        <v>101.56</v>
      </c>
      <c r="R37" s="69"/>
      <c r="S37" s="69"/>
      <c r="T37" s="69"/>
      <c r="U37" s="69"/>
      <c r="V37" s="69">
        <f t="shared" si="1"/>
        <v>102.48</v>
      </c>
      <c r="W37" s="69"/>
      <c r="X37" s="69"/>
      <c r="Y37" s="69"/>
      <c r="Z37" s="69"/>
      <c r="AA37" s="69">
        <f t="shared" si="2"/>
        <v>101.66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55</v>
      </c>
      <c r="O38" s="28"/>
      <c r="P38" s="28"/>
      <c r="Q38" s="69">
        <f t="shared" si="0"/>
        <v>102.72</v>
      </c>
      <c r="R38" s="69"/>
      <c r="S38" s="69"/>
      <c r="T38" s="69"/>
      <c r="U38" s="69"/>
      <c r="V38" s="69">
        <f t="shared" si="1"/>
        <v>101.36</v>
      </c>
      <c r="W38" s="69"/>
      <c r="X38" s="69"/>
      <c r="Y38" s="69"/>
      <c r="Z38" s="69"/>
      <c r="AA38" s="69">
        <f t="shared" si="2"/>
        <v>102.42</v>
      </c>
      <c r="AB38" s="69"/>
      <c r="AC38" s="69"/>
      <c r="AD38" s="69"/>
      <c r="AE38" s="69"/>
    </row>
    <row r="39" spans="2:62">
      <c r="B39" s="70" t="s">
        <v>68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69</v>
      </c>
      <c r="O39" s="28"/>
      <c r="P39" s="28"/>
      <c r="Q39" s="69">
        <f t="shared" si="0"/>
        <v>3655</v>
      </c>
      <c r="R39" s="69"/>
      <c r="S39" s="69"/>
      <c r="T39" s="69"/>
      <c r="U39" s="69"/>
      <c r="V39" s="69">
        <f t="shared" si="1"/>
        <v>3655</v>
      </c>
      <c r="W39" s="69"/>
      <c r="X39" s="69"/>
      <c r="Y39" s="69"/>
      <c r="Z39" s="69"/>
      <c r="AA39" s="69">
        <f t="shared" si="2"/>
        <v>3548</v>
      </c>
      <c r="AB39" s="69"/>
      <c r="AC39" s="69"/>
      <c r="AD39" s="69"/>
      <c r="AE39" s="69"/>
    </row>
    <row r="40" spans="2:62" ht="14.4" thickBot="1"/>
    <row r="41" spans="2:62">
      <c r="B41" s="56" t="s">
        <v>75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78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79</v>
      </c>
      <c r="O42" s="28"/>
      <c r="P42" s="28"/>
      <c r="Q42" s="69">
        <f>+_xlfn.NUMBERVALUE(Q25)</f>
        <v>231.7</v>
      </c>
      <c r="R42" s="69"/>
      <c r="S42" s="69"/>
      <c r="T42" s="69"/>
      <c r="U42" s="69"/>
      <c r="V42" s="69">
        <f>+_xlfn.NUMBERVALUE(V25)</f>
        <v>207.5</v>
      </c>
      <c r="W42" s="69"/>
      <c r="X42" s="69"/>
      <c r="Y42" s="69"/>
      <c r="Z42" s="69"/>
      <c r="AA42" s="69">
        <f>+_xlfn.NUMBERVALUE(AA25)</f>
        <v>207.9</v>
      </c>
      <c r="AB42" s="69"/>
      <c r="AC42" s="69"/>
      <c r="AD42" s="69"/>
      <c r="AE42" s="69"/>
      <c r="AQ42" s="2" t="s">
        <v>83</v>
      </c>
    </row>
    <row r="43" spans="2:62">
      <c r="B43" s="72" t="s">
        <v>80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2</v>
      </c>
      <c r="W43" s="69"/>
      <c r="X43" s="69"/>
      <c r="Y43" s="69"/>
      <c r="Z43" s="69"/>
      <c r="AA43" s="69">
        <f>+_xlfn.NUMBERVALUE(AA26)</f>
        <v>2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84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85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86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87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88</v>
      </c>
      <c r="B62" s="84"/>
      <c r="C62" s="84"/>
      <c r="D62" s="85" t="s">
        <v>89</v>
      </c>
      <c r="E62" s="86"/>
      <c r="F62" s="86"/>
      <c r="G62" s="86"/>
      <c r="H62" s="87"/>
      <c r="I62" s="88" t="s">
        <v>90</v>
      </c>
      <c r="J62" s="89"/>
      <c r="K62" s="89"/>
      <c r="L62" s="89"/>
      <c r="M62" s="90" t="s">
        <v>91</v>
      </c>
      <c r="N62" s="90"/>
      <c r="O62" s="90"/>
      <c r="P62" s="90"/>
      <c r="Q62" s="88" t="s">
        <v>92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93</v>
      </c>
      <c r="AA62" s="89"/>
      <c r="AB62" s="89"/>
      <c r="AC62" s="92" t="s">
        <v>94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ID-0073363-2026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R-5763-1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46104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46104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95</v>
      </c>
      <c r="B66" s="106"/>
      <c r="C66" s="106"/>
      <c r="D66" s="106"/>
      <c r="E66" s="106"/>
      <c r="F66" s="106"/>
      <c r="G66" s="107" t="str">
        <f>UPPER(G5)</f>
        <v>HORMIGON REFORZADO SAS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96</v>
      </c>
      <c r="B67" s="108"/>
      <c r="C67" s="108"/>
      <c r="D67" s="108"/>
      <c r="E67" s="108"/>
      <c r="F67" s="108"/>
      <c r="G67" s="109" t="str">
        <f>UPPER(G6)</f>
        <v>CRA 9 # 113- 52 P 21 ED TO UNIDAS 2</v>
      </c>
      <c r="H67" s="109"/>
      <c r="I67" s="109"/>
      <c r="J67" s="109"/>
      <c r="K67" s="109"/>
      <c r="L67" s="109"/>
      <c r="M67" s="109"/>
      <c r="N67" s="109"/>
      <c r="O67" s="110" t="s">
        <v>97</v>
      </c>
      <c r="P67" s="110"/>
      <c r="Q67" s="110"/>
      <c r="R67" s="109" t="str">
        <f>UPPER(R6)</f>
        <v>BOGOTÁ</v>
      </c>
      <c r="S67" s="109"/>
      <c r="T67" s="109"/>
      <c r="U67" s="110" t="s">
        <v>98</v>
      </c>
      <c r="V67" s="110"/>
      <c r="W67" s="110"/>
      <c r="X67" s="109" t="str">
        <f>UPPER(X6)</f>
        <v>BOGOTÁ</v>
      </c>
      <c r="Y67" s="109"/>
      <c r="Z67" s="109"/>
      <c r="AA67" s="110" t="s">
        <v>99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OB-003434</v>
      </c>
      <c r="H68" s="109"/>
      <c r="I68" s="109"/>
      <c r="J68" s="109"/>
      <c r="K68" s="110" t="s">
        <v>100</v>
      </c>
      <c r="L68" s="110"/>
      <c r="M68" s="110"/>
      <c r="N68" s="111" t="str">
        <f>UPPER(N7)</f>
        <v xml:space="preserve">EDIFICIO 109- 110 PATIO TALLER METRO 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101</v>
      </c>
      <c r="B69" s="108"/>
      <c r="C69" s="108"/>
      <c r="D69" s="108"/>
      <c r="E69" s="108"/>
      <c r="F69" s="108"/>
      <c r="G69" s="109" t="str">
        <f>UPPER(G8)</f>
        <v>M Y A GROUP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102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103</v>
      </c>
      <c r="C73" s="116"/>
      <c r="D73" s="116"/>
      <c r="E73" s="116"/>
      <c r="F73" s="104">
        <f>+F10</f>
        <v>46097</v>
      </c>
      <c r="G73" s="104"/>
      <c r="H73" s="104"/>
      <c r="I73"/>
      <c r="J73" s="111" t="s">
        <v>104</v>
      </c>
      <c r="K73" s="111"/>
      <c r="L73" s="111"/>
      <c r="M73" s="111"/>
      <c r="N73" s="111"/>
      <c r="O73" s="117">
        <f>+O10</f>
        <v>28</v>
      </c>
      <c r="P73" s="117"/>
      <c r="Q73"/>
      <c r="R73" s="111" t="s">
        <v>105</v>
      </c>
      <c r="S73" s="111"/>
      <c r="T73" s="111"/>
      <c r="U73" s="111"/>
      <c r="V73" s="111"/>
      <c r="W73" s="118">
        <f>O73*145.038</f>
        <v>4061.0640000000003</v>
      </c>
      <c r="X73" s="118"/>
      <c r="Y73"/>
      <c r="Z73" s="111" t="s">
        <v>106</v>
      </c>
      <c r="AA73" s="111"/>
      <c r="AB73" s="111"/>
      <c r="AC73" s="119">
        <f>Q65-F73</f>
        <v>7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62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107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62</v>
      </c>
      <c r="O76" s="111"/>
      <c r="P76" s="111"/>
      <c r="Q76" s="111" t="str">
        <f>UPPER(Q13)</f>
        <v xml:space="preserve">EDIFICIO 110, PLACA SUPERIOR CAJAS POZOS DE BOMBAS EYECTORAS, PTAR, EJE A ENTRE EJES 1 Y 3. 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50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51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108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54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55</v>
      </c>
      <c r="O81" s="101"/>
      <c r="P81" s="101"/>
      <c r="Q81" s="118">
        <f>+IF(Q17=0,"",ROUND(AVERAGE(Q34:U36),0))</f>
        <v>202</v>
      </c>
      <c r="R81" s="118"/>
      <c r="S81" s="118"/>
      <c r="T81" s="118"/>
      <c r="U81" s="118"/>
      <c r="V81" s="118">
        <f>+IF(V17=0,"",ROUND(AVERAGE(V34:Z36),0))</f>
        <v>202</v>
      </c>
      <c r="W81" s="118"/>
      <c r="X81" s="118"/>
      <c r="Y81" s="118"/>
      <c r="Z81" s="118"/>
      <c r="AA81" s="118">
        <f>+IF(AA17=0,"",ROUND(AVERAGE(AA34:AE36),0))</f>
        <v>202</v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62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55</v>
      </c>
      <c r="O82" s="101"/>
      <c r="P82" s="101"/>
      <c r="Q82" s="138">
        <f>+IF(Q20=0,"",ROUND(AVERAGE(Q37:U38),2))</f>
        <v>102.14</v>
      </c>
      <c r="R82" s="138"/>
      <c r="S82" s="138"/>
      <c r="T82" s="138"/>
      <c r="U82" s="138"/>
      <c r="V82" s="138">
        <f>+IF(V20=0,"",ROUND(AVERAGE(V37:Z38),2))</f>
        <v>101.92</v>
      </c>
      <c r="W82" s="138"/>
      <c r="X82" s="138"/>
      <c r="Y82" s="138"/>
      <c r="Z82" s="138"/>
      <c r="AA82" s="138">
        <f>+IF(AA20=0,"",ROUND(AVERAGE(AA37:AE38),2))</f>
        <v>102.04</v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68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69</v>
      </c>
      <c r="O83" s="101"/>
      <c r="P83" s="101"/>
      <c r="Q83" s="118">
        <f>+IF(Q22=0,"",Q22)</f>
        <v>3655</v>
      </c>
      <c r="R83" s="118"/>
      <c r="S83" s="118"/>
      <c r="T83" s="118"/>
      <c r="U83" s="118"/>
      <c r="V83" s="118">
        <f>+IF(V22=0,"",V22)</f>
        <v>3655</v>
      </c>
      <c r="W83" s="118"/>
      <c r="X83" s="118"/>
      <c r="Y83" s="118"/>
      <c r="Z83" s="118"/>
      <c r="AA83" s="118">
        <f>+IF(AA22=0,"",AA22)</f>
        <v>3548</v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109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>
        <f>IF(Q81="","",Q81/Q82)</f>
        <v>1.9776776972782455</v>
      </c>
      <c r="R84" s="117"/>
      <c r="S84" s="117"/>
      <c r="T84" s="117"/>
      <c r="U84" s="117"/>
      <c r="V84" s="117">
        <f>IF(V81="","",V81/V82)</f>
        <v>1.9819466248037676</v>
      </c>
      <c r="W84" s="117"/>
      <c r="X84" s="117"/>
      <c r="Y84" s="117"/>
      <c r="Z84" s="117"/>
      <c r="AA84" s="117">
        <f>IF(AA81="","",AA81/AA82)</f>
        <v>1.9796158369266952</v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110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111</v>
      </c>
      <c r="O85" s="101"/>
      <c r="P85" s="101"/>
      <c r="Q85" s="138">
        <f>IF(Q82="","",(PI()*Q82*Q82)/4)</f>
        <v>8193.7288573376845</v>
      </c>
      <c r="R85" s="138"/>
      <c r="S85" s="138"/>
      <c r="T85" s="138"/>
      <c r="U85" s="138"/>
      <c r="V85" s="138">
        <f>IF(V82="","",(PI()*V82*V82)/4)</f>
        <v>8158.4698205086506</v>
      </c>
      <c r="W85" s="138"/>
      <c r="X85" s="138"/>
      <c r="Y85" s="138"/>
      <c r="Z85" s="138"/>
      <c r="AA85" s="117">
        <f>IF(AA82="","",(PI()*AA82*AA82)/4)</f>
        <v>8177.6925976374368</v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112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113</v>
      </c>
      <c r="O86" s="101"/>
      <c r="P86" s="101"/>
      <c r="Q86" s="118">
        <f>IF(Q83="","",((Q83/((Q85*Q81)))*1000)*1000)</f>
        <v>2208.2814456005485</v>
      </c>
      <c r="R86" s="118"/>
      <c r="S86" s="118"/>
      <c r="T86" s="118"/>
      <c r="U86" s="118"/>
      <c r="V86" s="118">
        <f>IF(V83="","",((V83/((V85*V81)))*1000)*1000)</f>
        <v>2217.8251319206938</v>
      </c>
      <c r="W86" s="118"/>
      <c r="X86" s="118"/>
      <c r="Y86" s="118"/>
      <c r="Z86" s="118"/>
      <c r="AA86" s="118">
        <f>IF(AA83="","",((AA83/((AA85*AA81)))*1000)*1000)</f>
        <v>2147.8376969951114</v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75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114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79</v>
      </c>
      <c r="O89" s="102"/>
      <c r="P89" s="102"/>
      <c r="Q89" s="142">
        <f>IF(Q25=0,"",Q25)</f>
        <v>231.7</v>
      </c>
      <c r="R89" s="142"/>
      <c r="S89" s="142"/>
      <c r="T89" s="142"/>
      <c r="U89" s="142"/>
      <c r="V89" s="142">
        <f>IF(V25=0,"",V25)</f>
        <v>207.5</v>
      </c>
      <c r="W89" s="142"/>
      <c r="X89" s="142"/>
      <c r="Y89" s="142"/>
      <c r="Z89" s="142"/>
      <c r="AA89" s="142">
        <f>IF(AA25=0,"",AA25)</f>
        <v>207.9</v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115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>
        <f>+(-0.1067*Q84*Q84*Q84*Q84)+(0.8*Q84*Q84*Q84)-(2.2333*Q84*Q84)+(2.83*Q84)-0.42</f>
        <v>0.99776415183205192</v>
      </c>
      <c r="R90" s="117"/>
      <c r="S90" s="117"/>
      <c r="T90" s="117"/>
      <c r="U90" s="117"/>
      <c r="V90" s="117">
        <f>IF(V84="","",(-0.1067*V84*V84*V84*V84)+(0.8*V84*V84*V84)-(2.2333*V84*V84)+(2.83*V84)-0.42)</f>
        <v>0.99811462888740365</v>
      </c>
      <c r="W90" s="117"/>
      <c r="X90" s="117"/>
      <c r="Y90" s="117"/>
      <c r="Z90" s="117"/>
      <c r="AA90" s="117">
        <f>IF(AA84="","",(-0.1067*AA84*AA84*AA84*AA84)+(0.8*AA84*AA84*AA84)-(2.2333*AA84*AA84)+(2.83*AA84)-0.42)</f>
        <v>0.99792323206104072</v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116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49</v>
      </c>
      <c r="O91" s="101"/>
      <c r="P91" s="101"/>
      <c r="Q91" s="117">
        <f>IF(Q89="","",(Q89*1000/Q85)*Q90)</f>
        <v>28.214498917969117</v>
      </c>
      <c r="R91" s="117"/>
      <c r="S91" s="117"/>
      <c r="T91" s="117"/>
      <c r="U91" s="117"/>
      <c r="V91" s="117">
        <f>IF(V89="","",(V89*1000/V85)*V90)</f>
        <v>25.385738998936908</v>
      </c>
      <c r="W91" s="117"/>
      <c r="X91" s="117"/>
      <c r="Y91" s="117"/>
      <c r="Z91" s="117"/>
      <c r="AA91" s="117">
        <f>IF(AA89="","",(AA89*1000/AA85)*AA90)</f>
        <v>25.370021857440406</v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116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48</v>
      </c>
      <c r="O92" s="101"/>
      <c r="P92" s="101"/>
      <c r="Q92" s="117">
        <f>IF(Q91="","",Q91*145.038)</f>
        <v>4092.1744940644048</v>
      </c>
      <c r="R92" s="117"/>
      <c r="S92" s="117"/>
      <c r="T92" s="117"/>
      <c r="U92" s="117"/>
      <c r="V92" s="117">
        <f>IF(V91="","",V91*145.038)</f>
        <v>3681.8968129278114</v>
      </c>
      <c r="W92" s="117"/>
      <c r="X92" s="117"/>
      <c r="Y92" s="117"/>
      <c r="Z92" s="117"/>
      <c r="AA92" s="117">
        <f>IF(AA91="","",AA91*145.038)</f>
        <v>3679.617230159442</v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116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117</v>
      </c>
      <c r="O93" s="101"/>
      <c r="P93" s="101"/>
      <c r="Q93" s="146">
        <f>IF(Q91="","",(Q91/$O$73)*100)</f>
        <v>100.76606756417542</v>
      </c>
      <c r="R93" s="146"/>
      <c r="S93" s="146"/>
      <c r="T93" s="146"/>
      <c r="U93" s="146"/>
      <c r="V93" s="146">
        <f>IF(V91="","",(V91/$O$73)*100)</f>
        <v>90.663353567631816</v>
      </c>
      <c r="W93" s="146"/>
      <c r="X93" s="146"/>
      <c r="Y93" s="146"/>
      <c r="Z93" s="146"/>
      <c r="AA93" s="146">
        <f>IF(AA91="","",(AA91/$O$73)*100)</f>
        <v>90.60722091943002</v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80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>
        <f>IF(V26=0,"",V26)</f>
        <v>2</v>
      </c>
      <c r="W94" s="118"/>
      <c r="X94" s="118"/>
      <c r="Y94" s="118"/>
      <c r="Z94" s="118"/>
      <c r="AA94" s="118">
        <f>IF(AA26=0,"",AA26)</f>
        <v>2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118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119</v>
      </c>
      <c r="Y96" s="132"/>
      <c r="Z96" s="132"/>
      <c r="AA96" s="132"/>
      <c r="AB96" s="149">
        <f>AVERAGE(Q91:AE91)</f>
        <v>26.323419924782144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117</v>
      </c>
      <c r="Y97" s="132"/>
      <c r="Z97" s="132"/>
      <c r="AA97" s="132"/>
      <c r="AB97" s="149">
        <f>AVERAGE(Q93:AE93)</f>
        <v>94.012214017079089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81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120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84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ID-0073363-2026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121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122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123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124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125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126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127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128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129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2026-04-04T16:25:01Z</dcterms:created>
  <dcterms:modified xsi:type="dcterms:W3CDTF">2026-04-04T16:25:01Z</dcterms:modified>
</cp:coreProperties>
</file>