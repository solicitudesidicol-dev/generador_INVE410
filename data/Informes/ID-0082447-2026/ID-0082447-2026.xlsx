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82447-2026\"/>
    </mc:Choice>
  </mc:AlternateContent>
  <xr:revisionPtr revIDLastSave="0" documentId="8_{84BDF0B7-39E4-4355-B824-EA53BE8F9024}" xr6:coauthVersionLast="47" xr6:coauthVersionMax="47" xr10:uidLastSave="{00000000-0000-0000-0000-000000000000}"/>
  <bookViews>
    <workbookView xWindow="-108" yWindow="-108" windowWidth="23256" windowHeight="12456" xr2:uid="{38388D16-6B57-4664-8B3E-7C1C6A54AD03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AA91" i="1" s="1"/>
  <c r="V89" i="1"/>
  <c r="V91" i="1" s="1"/>
  <c r="Q89" i="1"/>
  <c r="Q91" i="1" s="1"/>
  <c r="Q84" i="1"/>
  <c r="Q90" i="1" s="1"/>
  <c r="AA83" i="1"/>
  <c r="AA86" i="1" s="1"/>
  <c r="V83" i="1"/>
  <c r="V86" i="1" s="1"/>
  <c r="Q83" i="1"/>
  <c r="Q86" i="1" s="1"/>
  <c r="AA82" i="1"/>
  <c r="AA85" i="1" s="1"/>
  <c r="V82" i="1"/>
  <c r="V85" i="1" s="1"/>
  <c r="Q82" i="1"/>
  <c r="Q85" i="1" s="1"/>
  <c r="AA81" i="1"/>
  <c r="AA84" i="1" s="1"/>
  <c r="AA90" i="1" s="1"/>
  <c r="V81" i="1"/>
  <c r="V84" i="1" s="1"/>
  <c r="V90" i="1" s="1"/>
  <c r="Q81" i="1"/>
  <c r="Q77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V37" i="1"/>
  <c r="Q37" i="1"/>
  <c r="AA36" i="1"/>
  <c r="V36" i="1"/>
  <c r="Q36" i="1"/>
  <c r="AA35" i="1"/>
  <c r="V35" i="1"/>
  <c r="Q35" i="1"/>
  <c r="AA34" i="1"/>
  <c r="V34" i="1"/>
  <c r="Q34" i="1"/>
  <c r="AH26" i="1"/>
  <c r="AL14" i="1"/>
  <c r="Q14" i="1"/>
  <c r="N13" i="1"/>
  <c r="BY2" i="1"/>
  <c r="BY4" i="1" s="1"/>
  <c r="BW2" i="1"/>
  <c r="BW3" i="1" s="1"/>
  <c r="BV2" i="1"/>
  <c r="AA92" i="1" l="1"/>
  <c r="AA93" i="1"/>
  <c r="V92" i="1"/>
  <c r="V93" i="1"/>
  <c r="AB96" i="1"/>
  <c r="Q92" i="1"/>
  <c r="Q93" i="1"/>
  <c r="AB97" i="1" s="1"/>
  <c r="BW4" i="1"/>
  <c r="D3" i="1" s="1"/>
  <c r="D64" i="1" s="1"/>
  <c r="T107" i="1" s="1"/>
  <c r="BW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35C007DB-3205-4F1D-B9FD-91503D117CD1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7BDBB303-5375-4712-8FA1-7D82FF1B707C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AAC1EE4D-B4B9-48B7-9393-59CC10663CC0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C31DC4BE-7DAF-4891-B52D-94EC6C15F85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5C3A2BD7-DCF0-4E75-89FB-4A7411D152A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9C7F0F61-9AC4-4B1C-A2FF-0541E7744F83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6F379917-CA1F-4113-B847-F08AC1BE5E4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41334C36-17EB-4AEA-BE06-EB120BCAF391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A8FE65AE-5898-4513-8027-D2433C7D8A03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51A1D741-3E83-451C-9219-13A3DF1D01DB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5A7AE307-E126-4F24-AFF8-37FE97BDDB6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FFB4EA45-620F-45FE-BA88-8ED989A07D2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3CB97B70-4263-4110-9F2C-3CA383536D41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93012AFC-C83E-4285-B572-9C70249D77E7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B7239B61-8772-46F1-BAB2-03F7080FE153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<sst xmlns="http://schemas.openxmlformats.org/spreadsheetml/2006/main" count="205" uniqueCount="131">
  <si>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</si>
  <si>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</si>
  <si>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ECD-0082447</t>
  </si>
  <si>
    <t>73365</t>
  </si>
  <si>
    <t>ID Informe:</t>
  </si>
  <si>
    <t>-</t>
  </si>
  <si>
    <t>Orden de ingreso:</t>
  </si>
  <si>
    <t>R-5578-1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</si>
  <si>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</si>
  <si>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</si>
  <si>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</si>
  <si>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</si>
  <si>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</si>
  <si>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</si>
  <si>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</si>
  <si>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</si>
  <si>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</si>
  <si>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</si>
  <si>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</si>
  <si>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</si>
  <si>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</si>
  <si>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</si>
  <si>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</si>
  <si>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</si>
  <si>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</si>
  <si>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</si>
  <si>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</si>
  <si>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</si>
  <si>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</si>
  <si>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</si>
  <si>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</si>
  <si>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</si>
  <si>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</si>
  <si>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</si>
  <si>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</si>
  <si>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</si>
  <si>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</si>
  <si>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</si>
  <si>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</si>
  <si>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</si>
  <si>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</si>
  <si>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</si>
  <si>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</si>
  <si>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</si>
  <si>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</si>
  <si>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</si>
  <si>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PN 48/49 -M137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</si>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</sst>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33-482C-B8DF-645E63543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55898DEB-3565-4447-9A09-91CACD999C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63940E-BB65-40F9-8576-198D3DA48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752DC8-5970-4FB8-928D-1DA24F703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002AA9A-CB8D-4D0B-A4AF-26F3F80C5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76D6-C9CE-4C27-A80B-FB685D8307C5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ID-0082447-2026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46090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46108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ID-0082447-2026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46080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24.13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PN 48/49 -M137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43"/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43"/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43"/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38"/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38"/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3</v>
      </c>
      <c r="W26" s="62"/>
      <c r="X26" s="62"/>
      <c r="Y26" s="62"/>
      <c r="Z26" s="62"/>
      <c r="AA26" s="62">
        <v>3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0</v>
      </c>
      <c r="R34" s="69"/>
      <c r="S34" s="69"/>
      <c r="T34" s="69"/>
      <c r="U34" s="69"/>
      <c r="V34" s="69">
        <f t="shared" ref="V34:V39" si="1">+_xlfn.NUMBERVALUE(V17)</f>
        <v>0</v>
      </c>
      <c r="W34" s="69"/>
      <c r="X34" s="69"/>
      <c r="Y34" s="69"/>
      <c r="Z34" s="69"/>
      <c r="AA34" s="69">
        <f t="shared" ref="AA34:AA39" si="2">+_xlfn.NUMBERVALUE(AA17)</f>
        <v>0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0</v>
      </c>
      <c r="R35" s="69"/>
      <c r="S35" s="69"/>
      <c r="T35" s="69"/>
      <c r="U35" s="69"/>
      <c r="V35" s="69">
        <f t="shared" si="1"/>
        <v>0</v>
      </c>
      <c r="W35" s="69"/>
      <c r="X35" s="69"/>
      <c r="Y35" s="69"/>
      <c r="Z35" s="69"/>
      <c r="AA35" s="69">
        <f t="shared" si="2"/>
        <v>0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0</v>
      </c>
      <c r="R36" s="69"/>
      <c r="S36" s="69"/>
      <c r="T36" s="69"/>
      <c r="U36" s="69"/>
      <c r="V36" s="69">
        <f t="shared" si="1"/>
        <v>0</v>
      </c>
      <c r="W36" s="69"/>
      <c r="X36" s="69"/>
      <c r="Y36" s="69"/>
      <c r="Z36" s="69"/>
      <c r="AA36" s="69">
        <f t="shared" si="2"/>
        <v>0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0</v>
      </c>
      <c r="R37" s="69"/>
      <c r="S37" s="69"/>
      <c r="T37" s="69"/>
      <c r="U37" s="69"/>
      <c r="V37" s="69">
        <f t="shared" si="1"/>
        <v>0</v>
      </c>
      <c r="W37" s="69"/>
      <c r="X37" s="69"/>
      <c r="Y37" s="69"/>
      <c r="Z37" s="69"/>
      <c r="AA37" s="69">
        <f t="shared" si="2"/>
        <v>0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0</v>
      </c>
      <c r="R38" s="69"/>
      <c r="S38" s="69"/>
      <c r="T38" s="69"/>
      <c r="U38" s="69"/>
      <c r="V38" s="69">
        <f t="shared" si="1"/>
        <v>0</v>
      </c>
      <c r="W38" s="69"/>
      <c r="X38" s="69"/>
      <c r="Y38" s="69"/>
      <c r="Z38" s="69"/>
      <c r="AA38" s="69">
        <f t="shared" si="2"/>
        <v>0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0</v>
      </c>
      <c r="R39" s="69"/>
      <c r="S39" s="69"/>
      <c r="T39" s="69"/>
      <c r="U39" s="69"/>
      <c r="V39" s="69">
        <f t="shared" si="1"/>
        <v>0</v>
      </c>
      <c r="W39" s="69"/>
      <c r="X39" s="69"/>
      <c r="Y39" s="69"/>
      <c r="Z39" s="69"/>
      <c r="AA39" s="69">
        <f t="shared" si="2"/>
        <v>0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0</v>
      </c>
      <c r="R42" s="69"/>
      <c r="S42" s="69"/>
      <c r="T42" s="69"/>
      <c r="U42" s="69"/>
      <c r="V42" s="69">
        <f>+_xlfn.NUMBERVALUE(V25)</f>
        <v>0</v>
      </c>
      <c r="W42" s="69"/>
      <c r="X42" s="69"/>
      <c r="Y42" s="69"/>
      <c r="Z42" s="69"/>
      <c r="AA42" s="69">
        <f>+_xlfn.NUMBERVALUE(AA25)</f>
        <v>0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3</v>
      </c>
      <c r="W43" s="69"/>
      <c r="X43" s="69"/>
      <c r="Y43" s="69"/>
      <c r="Z43" s="69"/>
      <c r="AA43" s="69">
        <f>+_xlfn.NUMBERVALUE(AA26)</f>
        <v>3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ID-0082447-2026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R-5578-1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46090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46108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46080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24.13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3499.76694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PN 48/49 -M137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PN 48/49 -M137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 t="str">
        <f>+IF(Q17=0,"",ROUND(AVERAGE(Q34:U36),0))</f>
        <v/>
      </c>
      <c r="R81" s="118"/>
      <c r="S81" s="118"/>
      <c r="T81" s="118"/>
      <c r="U81" s="118"/>
      <c r="V81" s="118" t="str">
        <f>+IF(V17=0,"",ROUND(AVERAGE(V34:Z36),0))</f>
        <v/>
      </c>
      <c r="W81" s="118"/>
      <c r="X81" s="118"/>
      <c r="Y81" s="118"/>
      <c r="Z81" s="118"/>
      <c r="AA81" s="118" t="str">
        <f>+IF(AA17=0,"",ROUND(AVERAGE(AA34:AE36),0))</f>
        <v/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 t="str">
        <f>+IF(Q20=0,"",ROUND(AVERAGE(Q37:U38),2))</f>
        <v/>
      </c>
      <c r="R82" s="138"/>
      <c r="S82" s="138"/>
      <c r="T82" s="138"/>
      <c r="U82" s="138"/>
      <c r="V82" s="138" t="str">
        <f>+IF(V20=0,"",ROUND(AVERAGE(V37:Z38),2))</f>
        <v/>
      </c>
      <c r="W82" s="138"/>
      <c r="X82" s="138"/>
      <c r="Y82" s="138"/>
      <c r="Z82" s="138"/>
      <c r="AA82" s="138" t="str">
        <f>+IF(AA20=0,"",ROUND(AVERAGE(AA37:AE38),2))</f>
        <v/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 t="str">
        <f>+IF(Q22=0,"",Q22)</f>
        <v/>
      </c>
      <c r="R83" s="118"/>
      <c r="S83" s="118"/>
      <c r="T83" s="118"/>
      <c r="U83" s="118"/>
      <c r="V83" s="118" t="str">
        <f>+IF(V22=0,"",V22)</f>
        <v/>
      </c>
      <c r="W83" s="118"/>
      <c r="X83" s="118"/>
      <c r="Y83" s="118"/>
      <c r="Z83" s="118"/>
      <c r="AA83" s="118" t="str">
        <f>+IF(AA22=0,"",AA22)</f>
        <v/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 t="str">
        <f>IF(Q81="","",Q81/Q82)</f>
        <v/>
      </c>
      <c r="R84" s="117"/>
      <c r="S84" s="117"/>
      <c r="T84" s="117"/>
      <c r="U84" s="117"/>
      <c r="V84" s="117" t="str">
        <f>IF(V81="","",V81/V82)</f>
        <v/>
      </c>
      <c r="W84" s="117"/>
      <c r="X84" s="117"/>
      <c r="Y84" s="117"/>
      <c r="Z84" s="117"/>
      <c r="AA84" s="117" t="str">
        <f>IF(AA81="","",AA81/AA82)</f>
        <v/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 t="str">
        <f>IF(Q82="","",(PI()*Q82*Q82)/4)</f>
        <v/>
      </c>
      <c r="R85" s="138"/>
      <c r="S85" s="138"/>
      <c r="T85" s="138"/>
      <c r="U85" s="138"/>
      <c r="V85" s="138" t="str">
        <f>IF(V82="","",(PI()*V82*V82)/4)</f>
        <v/>
      </c>
      <c r="W85" s="138"/>
      <c r="X85" s="138"/>
      <c r="Y85" s="138"/>
      <c r="Z85" s="138"/>
      <c r="AA85" s="117" t="str">
        <f>IF(AA82="","",(PI()*AA82*AA82)/4)</f>
        <v/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 t="str">
        <f>IF(Q83="","",((Q83/((Q85*Q81)))*1000)*1000)</f>
        <v/>
      </c>
      <c r="R86" s="118"/>
      <c r="S86" s="118"/>
      <c r="T86" s="118"/>
      <c r="U86" s="118"/>
      <c r="V86" s="118" t="str">
        <f>IF(V83="","",((V83/((V85*V81)))*1000)*1000)</f>
        <v/>
      </c>
      <c r="W86" s="118"/>
      <c r="X86" s="118"/>
      <c r="Y86" s="118"/>
      <c r="Z86" s="118"/>
      <c r="AA86" s="118" t="str">
        <f>IF(AA83="","",((AA83/((AA85*AA81)))*1000)*1000)</f>
        <v/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 t="str">
        <f>IF(Q25=0,"",Q25)</f>
        <v/>
      </c>
      <c r="R89" s="142"/>
      <c r="S89" s="142"/>
      <c r="T89" s="142"/>
      <c r="U89" s="142"/>
      <c r="V89" s="142" t="str">
        <f>IF(V25=0,"",V25)</f>
        <v/>
      </c>
      <c r="W89" s="142"/>
      <c r="X89" s="142"/>
      <c r="Y89" s="142"/>
      <c r="Z89" s="142"/>
      <c r="AA89" s="142" t="str">
        <f>IF(AA25=0,"",AA25)</f>
        <v/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 t="e">
        <f>+(-0.1067*Q84*Q84*Q84*Q84)+(0.8*Q84*Q84*Q84)-(2.2333*Q84*Q84)+(2.83*Q84)-0.42</f>
        <v>#VALUE!</v>
      </c>
      <c r="R90" s="117"/>
      <c r="S90" s="117"/>
      <c r="T90" s="117"/>
      <c r="U90" s="117"/>
      <c r="V90" s="117" t="str">
        <f>IF(V84="","",(-0.1067*V84*V84*V84*V84)+(0.8*V84*V84*V84)-(2.2333*V84*V84)+(2.83*V84)-0.42)</f>
        <v/>
      </c>
      <c r="W90" s="117"/>
      <c r="X90" s="117"/>
      <c r="Y90" s="117"/>
      <c r="Z90" s="117"/>
      <c r="AA90" s="117" t="str">
        <f>IF(AA84="","",(-0.1067*AA84*AA84*AA84*AA84)+(0.8*AA84*AA84*AA84)-(2.2333*AA84*AA84)+(2.83*AA84)-0.42)</f>
        <v/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 t="str">
        <f>IF(Q89="","",(Q89*1000/Q85)*Q90)</f>
        <v/>
      </c>
      <c r="R91" s="117"/>
      <c r="S91" s="117"/>
      <c r="T91" s="117"/>
      <c r="U91" s="117"/>
      <c r="V91" s="117" t="str">
        <f>IF(V89="","",(V89*1000/V85)*V90)</f>
        <v/>
      </c>
      <c r="W91" s="117"/>
      <c r="X91" s="117"/>
      <c r="Y91" s="117"/>
      <c r="Z91" s="117"/>
      <c r="AA91" s="117" t="str">
        <f>IF(AA89="","",(AA89*1000/AA85)*AA90)</f>
        <v/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 t="str">
        <f>IF(Q91="","",Q91*145.038)</f>
        <v/>
      </c>
      <c r="R92" s="117"/>
      <c r="S92" s="117"/>
      <c r="T92" s="117"/>
      <c r="U92" s="117"/>
      <c r="V92" s="117" t="str">
        <f>IF(V91="","",V91*145.038)</f>
        <v/>
      </c>
      <c r="W92" s="117"/>
      <c r="X92" s="117"/>
      <c r="Y92" s="117"/>
      <c r="Z92" s="117"/>
      <c r="AA92" s="117" t="str">
        <f>IF(AA91="","",AA91*145.038)</f>
        <v/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 t="str">
        <f>IF(Q91="","",(Q91/$O$73)*100)</f>
        <v/>
      </c>
      <c r="R93" s="146"/>
      <c r="S93" s="146"/>
      <c r="T93" s="146"/>
      <c r="U93" s="146"/>
      <c r="V93" s="146" t="str">
        <f>IF(V91="","",(V91/$O$73)*100)</f>
        <v/>
      </c>
      <c r="W93" s="146"/>
      <c r="X93" s="146"/>
      <c r="Y93" s="146"/>
      <c r="Z93" s="146"/>
      <c r="AA93" s="146" t="str">
        <f>IF(AA91="","",(AA91/$O$73)*100)</f>
        <v/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3</v>
      </c>
      <c r="W94" s="118"/>
      <c r="X94" s="118"/>
      <c r="Y94" s="118"/>
      <c r="Z94" s="118"/>
      <c r="AA94" s="118">
        <f>IF(AA26=0,"",AA26)</f>
        <v>3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 t="e">
        <f>AVERAGE(Q91:AE91)</f>
        <v>#DIV/0!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 t="e">
        <f>AVERAGE(Q93:AE93)</f>
        <v>#DIV/0!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ID-0082447-2026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2026-04-04T16:46:21Z</dcterms:created>
  <dcterms:modified xsi:type="dcterms:W3CDTF">2026-04-04T16:46:21Z</dcterms:modified>
</cp:coreProperties>
</file>