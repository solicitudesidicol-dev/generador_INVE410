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2612-2026\"/>
    </mc:Choice>
  </mc:AlternateContent>
  <xr:revisionPtr revIDLastSave="0" documentId="8_{7E83F787-0378-43A0-99C6-BDAB3167BEA9}" xr6:coauthVersionLast="47" xr6:coauthVersionMax="47" xr10:uidLastSave="{00000000-0000-0000-0000-000000000000}"/>
  <bookViews>
    <workbookView xWindow="-108" yWindow="-108" windowWidth="23256" windowHeight="12456" xr2:uid="{198E5BE6-A8D9-4617-8C2F-44658A8C6444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Q89" i="1"/>
  <c r="AA83" i="1"/>
  <c r="V83" i="1"/>
  <c r="Q83" i="1"/>
  <c r="AA82" i="1"/>
  <c r="AA85" i="1" s="1"/>
  <c r="V82" i="1"/>
  <c r="V85" i="1" s="1"/>
  <c r="Q82" i="1"/>
  <c r="Q85" i="1" s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AA81" i="1" s="1"/>
  <c r="AA84" i="1" s="1"/>
  <c r="AA90" i="1" s="1"/>
  <c r="V34" i="1"/>
  <c r="V81" i="1" s="1"/>
  <c r="V84" i="1" s="1"/>
  <c r="V90" i="1" s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BW4" i="1" l="1"/>
  <c r="D3" i="1" s="1"/>
  <c r="D64" i="1" s="1"/>
  <c r="T107" i="1" s="1"/>
  <c r="BW5" i="1"/>
  <c r="AA91" i="1"/>
  <c r="Q91" i="1"/>
  <c r="AA86" i="1"/>
  <c r="V86" i="1"/>
  <c r="Q86" i="1"/>
  <c r="V91" i="1"/>
  <c r="AA93" i="1" l="1"/>
  <c r="AA92" i="1"/>
  <c r="AB96" i="1"/>
  <c r="Q93" i="1"/>
  <c r="AB97" i="1" s="1"/>
  <c r="Q92" i="1"/>
  <c r="V93" i="1"/>
  <c r="V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B6D0F6B1-F2DA-46ED-8400-83073E3C6B82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418C75DD-C86C-47AC-AF75-239528414F1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C507B0F4-4C1C-481C-92FF-E080625BCEE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538856DA-B8AE-4545-95F3-AFB1A287689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DD01E6A6-2DA7-4158-B408-7BC0A60C70A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313204DA-655A-4241-91A5-22B34C59492F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E3788004-A774-49A2-80E4-45E5A6583C9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5CB704E9-49B1-44AC-A74F-BD97A5FD13A5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4222C1E4-E19B-4047-8CB2-9343C15EC2E1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A4874A64-D68E-4754-AC39-C5865E19232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9EE90440-4E81-4ABF-9166-EC2DC5548A3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587A72D3-1A90-4E74-A6F4-3F5F45F9E29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1CA54E29-28DB-4621-9156-9559394785BD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27A2DA84-A097-475D-B329-0F6502CAA56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F89F71E7-94AB-453F-83F9-4C9BB9CD14B0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<sst xmlns="http://schemas.openxmlformats.org/spreadsheetml/2006/main" count="205" uniqueCount="131">
  <si>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</si>
  <si>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</si>
  <si>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ECD-0072612</t>
  </si>
  <si>
    <t>73365</t>
  </si>
  <si>
    <t>ID Informe:</t>
  </si>
  <si>
    <t>-</t>
  </si>
  <si>
    <t>Orden de ingreso:</t>
  </si>
  <si>
    <t>R-5578-3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</si>
  <si>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</si>
  <si>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</si>
  <si>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</si>
  <si>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</si>
  <si>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</si>
  <si>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</si>
  <si>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</si>
  <si>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</si>
  <si>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</si>
  <si>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</si>
  <si>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</si>
  <si>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</si>
  <si>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</si>
  <si>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</si>
  <si>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</si>
  <si>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</si>
  <si>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</si>
  <si>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</si>
  <si>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</si>
  <si>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</si>
  <si>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</si>
  <si>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</si>
  <si>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</si>
  <si>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</si>
  <si>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</si>
  <si>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</si>
  <si>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</si>
  <si>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</si>
  <si>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</si>
  <si>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</si>
  <si>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</si>
  <si>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</si>
  <si>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</si>
  <si>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</si>
  <si>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</si>
  <si>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</si>
  <si>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</si>
  <si>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</si>
  <si>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162 - M139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</si>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</sst>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27-41DA-A6CC-6DF2E5052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1A357056-BFD0-496B-9ED2-FDEB87C591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F042CE-CFD3-4DA6-A9F0-7B9558284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3F23FF-BC3A-4BB6-A1EF-C679A3DA1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2646664-5D4B-4289-98EA-59274A42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274C-DC9D-4642-97D5-45B41B54D4C0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ID-0072612-2026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46109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ID-0072612-2026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46081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162 - M139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200.98</v>
      </c>
      <c r="R17" s="62"/>
      <c r="S17" s="62"/>
      <c r="T17" s="62"/>
      <c r="U17" s="62"/>
      <c r="V17" s="62">
        <v>200.7</v>
      </c>
      <c r="W17" s="62"/>
      <c r="X17" s="62"/>
      <c r="Y17" s="62"/>
      <c r="Z17" s="62"/>
      <c r="AA17" s="43">
        <v>200.6</v>
      </c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200.54</v>
      </c>
      <c r="R18" s="62"/>
      <c r="S18" s="62"/>
      <c r="T18" s="62"/>
      <c r="U18" s="62"/>
      <c r="V18" s="62">
        <v>200.68</v>
      </c>
      <c r="W18" s="62"/>
      <c r="X18" s="62"/>
      <c r="Y18" s="62"/>
      <c r="Z18" s="62"/>
      <c r="AA18" s="43">
        <v>200.7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200.1</v>
      </c>
      <c r="R19" s="62"/>
      <c r="S19" s="62"/>
      <c r="T19" s="62"/>
      <c r="U19" s="62"/>
      <c r="V19" s="62">
        <v>200.92</v>
      </c>
      <c r="W19" s="62"/>
      <c r="X19" s="62"/>
      <c r="Y19" s="62"/>
      <c r="Z19" s="62"/>
      <c r="AA19" s="43">
        <v>200.14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100.9</v>
      </c>
      <c r="R20" s="69"/>
      <c r="S20" s="69"/>
      <c r="T20" s="69"/>
      <c r="U20" s="69"/>
      <c r="V20" s="69">
        <v>100.98</v>
      </c>
      <c r="W20" s="69"/>
      <c r="X20" s="69"/>
      <c r="Y20" s="69"/>
      <c r="Z20" s="69"/>
      <c r="AA20" s="38">
        <v>100.8</v>
      </c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100.76</v>
      </c>
      <c r="R21" s="69"/>
      <c r="S21" s="69"/>
      <c r="T21" s="69"/>
      <c r="U21" s="69"/>
      <c r="V21" s="69">
        <v>100.6</v>
      </c>
      <c r="W21" s="69"/>
      <c r="X21" s="69"/>
      <c r="Y21" s="69"/>
      <c r="Z21" s="69"/>
      <c r="AA21" s="38">
        <v>100.6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3500</v>
      </c>
      <c r="R22" s="62"/>
      <c r="S22" s="62"/>
      <c r="T22" s="62"/>
      <c r="U22" s="62"/>
      <c r="V22" s="62">
        <v>3478</v>
      </c>
      <c r="W22" s="62"/>
      <c r="X22" s="62"/>
      <c r="Y22" s="62"/>
      <c r="Z22" s="62"/>
      <c r="AA22" s="62">
        <v>3500</v>
      </c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192.6</v>
      </c>
      <c r="R25" s="43"/>
      <c r="S25" s="43"/>
      <c r="T25" s="43"/>
      <c r="U25" s="43"/>
      <c r="V25" s="43">
        <v>183.9</v>
      </c>
      <c r="W25" s="43"/>
      <c r="X25" s="43"/>
      <c r="Y25" s="43"/>
      <c r="Z25" s="43"/>
      <c r="AA25" s="43">
        <v>169.1</v>
      </c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5</v>
      </c>
      <c r="R26" s="62"/>
      <c r="S26" s="62"/>
      <c r="T26" s="62"/>
      <c r="U26" s="62"/>
      <c r="V26" s="62">
        <v>4</v>
      </c>
      <c r="W26" s="62"/>
      <c r="X26" s="62"/>
      <c r="Y26" s="62"/>
      <c r="Z26" s="62"/>
      <c r="AA26" s="62">
        <v>5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200.98</v>
      </c>
      <c r="R34" s="69"/>
      <c r="S34" s="69"/>
      <c r="T34" s="69"/>
      <c r="U34" s="69"/>
      <c r="V34" s="69">
        <f t="shared" ref="V34:V39" si="1">+_xlfn.NUMBERVALUE(V17)</f>
        <v>200.7</v>
      </c>
      <c r="W34" s="69"/>
      <c r="X34" s="69"/>
      <c r="Y34" s="69"/>
      <c r="Z34" s="69"/>
      <c r="AA34" s="69">
        <f t="shared" ref="AA34:AA39" si="2">+_xlfn.NUMBERVALUE(AA17)</f>
        <v>200.6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200.54</v>
      </c>
      <c r="R35" s="69"/>
      <c r="S35" s="69"/>
      <c r="T35" s="69"/>
      <c r="U35" s="69"/>
      <c r="V35" s="69">
        <f t="shared" si="1"/>
        <v>200.68</v>
      </c>
      <c r="W35" s="69"/>
      <c r="X35" s="69"/>
      <c r="Y35" s="69"/>
      <c r="Z35" s="69"/>
      <c r="AA35" s="69">
        <f t="shared" si="2"/>
        <v>200.7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200.1</v>
      </c>
      <c r="R36" s="69"/>
      <c r="S36" s="69"/>
      <c r="T36" s="69"/>
      <c r="U36" s="69"/>
      <c r="V36" s="69">
        <f t="shared" si="1"/>
        <v>200.92</v>
      </c>
      <c r="W36" s="69"/>
      <c r="X36" s="69"/>
      <c r="Y36" s="69"/>
      <c r="Z36" s="69"/>
      <c r="AA36" s="69">
        <f t="shared" si="2"/>
        <v>200.14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100.9</v>
      </c>
      <c r="R37" s="69"/>
      <c r="S37" s="69"/>
      <c r="T37" s="69"/>
      <c r="U37" s="69"/>
      <c r="V37" s="69">
        <f t="shared" si="1"/>
        <v>100.98</v>
      </c>
      <c r="W37" s="69"/>
      <c r="X37" s="69"/>
      <c r="Y37" s="69"/>
      <c r="Z37" s="69"/>
      <c r="AA37" s="69">
        <f t="shared" si="2"/>
        <v>100.8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100.76</v>
      </c>
      <c r="R38" s="69"/>
      <c r="S38" s="69"/>
      <c r="T38" s="69"/>
      <c r="U38" s="69"/>
      <c r="V38" s="69">
        <f t="shared" si="1"/>
        <v>100.6</v>
      </c>
      <c r="W38" s="69"/>
      <c r="X38" s="69"/>
      <c r="Y38" s="69"/>
      <c r="Z38" s="69"/>
      <c r="AA38" s="69">
        <f t="shared" si="2"/>
        <v>100.6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3500</v>
      </c>
      <c r="R39" s="69"/>
      <c r="S39" s="69"/>
      <c r="T39" s="69"/>
      <c r="U39" s="69"/>
      <c r="V39" s="69">
        <f t="shared" si="1"/>
        <v>3478</v>
      </c>
      <c r="W39" s="69"/>
      <c r="X39" s="69"/>
      <c r="Y39" s="69"/>
      <c r="Z39" s="69"/>
      <c r="AA39" s="69">
        <f t="shared" si="2"/>
        <v>3500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192.6</v>
      </c>
      <c r="R42" s="69"/>
      <c r="S42" s="69"/>
      <c r="T42" s="69"/>
      <c r="U42" s="69"/>
      <c r="V42" s="69">
        <f>+_xlfn.NUMBERVALUE(V25)</f>
        <v>183.9</v>
      </c>
      <c r="W42" s="69"/>
      <c r="X42" s="69"/>
      <c r="Y42" s="69"/>
      <c r="Z42" s="69"/>
      <c r="AA42" s="69">
        <f>+_xlfn.NUMBERVALUE(AA25)</f>
        <v>169.1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5</v>
      </c>
      <c r="R43" s="69"/>
      <c r="S43" s="69"/>
      <c r="T43" s="69"/>
      <c r="U43" s="69"/>
      <c r="V43" s="69">
        <f>+_xlfn.NUMBERVALUE(V26)</f>
        <v>4</v>
      </c>
      <c r="W43" s="69"/>
      <c r="X43" s="69"/>
      <c r="Y43" s="69"/>
      <c r="Z43" s="69"/>
      <c r="AA43" s="69">
        <f>+_xlfn.NUMBERVALUE(AA26)</f>
        <v>5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ID-0072612-2026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R-5578-3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46109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46081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162 - M139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162 - M139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201</v>
      </c>
      <c r="R81" s="118"/>
      <c r="S81" s="118"/>
      <c r="T81" s="118"/>
      <c r="U81" s="118"/>
      <c r="V81" s="118">
        <f>+IF(V17=0,"",ROUND(AVERAGE(V34:Z36),0))</f>
        <v>201</v>
      </c>
      <c r="W81" s="118"/>
      <c r="X81" s="118"/>
      <c r="Y81" s="118"/>
      <c r="Z81" s="118"/>
      <c r="AA81" s="118">
        <f>+IF(AA17=0,"",ROUND(AVERAGE(AA34:AE36),0))</f>
        <v>200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100.83</v>
      </c>
      <c r="R82" s="138"/>
      <c r="S82" s="138"/>
      <c r="T82" s="138"/>
      <c r="U82" s="138"/>
      <c r="V82" s="138">
        <f>+IF(V20=0,"",ROUND(AVERAGE(V37:Z38),2))</f>
        <v>100.79</v>
      </c>
      <c r="W82" s="138"/>
      <c r="X82" s="138"/>
      <c r="Y82" s="138"/>
      <c r="Z82" s="138"/>
      <c r="AA82" s="138">
        <f>+IF(AA20=0,"",ROUND(AVERAGE(AA37:AE38),2))</f>
        <v>100.7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3500</v>
      </c>
      <c r="R83" s="118"/>
      <c r="S83" s="118"/>
      <c r="T83" s="118"/>
      <c r="U83" s="118"/>
      <c r="V83" s="118">
        <f>+IF(V22=0,"",V22)</f>
        <v>3478</v>
      </c>
      <c r="W83" s="118"/>
      <c r="X83" s="118"/>
      <c r="Y83" s="118"/>
      <c r="Z83" s="118"/>
      <c r="AA83" s="118">
        <f>+IF(AA22=0,"",AA22)</f>
        <v>3500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1.9934543290687297</v>
      </c>
      <c r="R84" s="117"/>
      <c r="S84" s="117"/>
      <c r="T84" s="117"/>
      <c r="U84" s="117"/>
      <c r="V84" s="117">
        <f>IF(V81="","",V81/V82)</f>
        <v>1.9942454608592122</v>
      </c>
      <c r="W84" s="117"/>
      <c r="X84" s="117"/>
      <c r="Y84" s="117"/>
      <c r="Z84" s="117"/>
      <c r="AA84" s="117">
        <f>IF(AA81="","",AA81/AA82)</f>
        <v>1.9860973187686195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7984.8987898932237</v>
      </c>
      <c r="R85" s="138"/>
      <c r="S85" s="138"/>
      <c r="T85" s="138"/>
      <c r="U85" s="138"/>
      <c r="V85" s="138">
        <f>IF(V82="","",(PI()*V82*V82)/4)</f>
        <v>7978.5647107850573</v>
      </c>
      <c r="W85" s="138"/>
      <c r="X85" s="138"/>
      <c r="Y85" s="138"/>
      <c r="Z85" s="138"/>
      <c r="AA85" s="117">
        <f>IF(AA82="","",(PI()*AA82*AA82)/4)</f>
        <v>7964.3222219501904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2180.7333795418008</v>
      </c>
      <c r="R86" s="118"/>
      <c r="S86" s="118"/>
      <c r="T86" s="118"/>
      <c r="U86" s="118"/>
      <c r="V86" s="118">
        <f>IF(V83="","",((V83/((V85*V81)))*1000)*1000)</f>
        <v>2168.7462863683522</v>
      </c>
      <c r="W86" s="118"/>
      <c r="X86" s="118"/>
      <c r="Y86" s="118"/>
      <c r="Z86" s="118"/>
      <c r="AA86" s="118">
        <f>IF(AA83="","",((AA83/((AA85*AA81)))*1000)*1000)</f>
        <v>2197.2993447915587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192.6</v>
      </c>
      <c r="R89" s="142"/>
      <c r="S89" s="142"/>
      <c r="T89" s="142"/>
      <c r="U89" s="142"/>
      <c r="V89" s="142">
        <f>IF(V25=0,"",V25)</f>
        <v>183.9</v>
      </c>
      <c r="W89" s="142"/>
      <c r="X89" s="142"/>
      <c r="Y89" s="142"/>
      <c r="Z89" s="142"/>
      <c r="AA89" s="142">
        <f>IF(AA25=0,"",AA25)</f>
        <v>169.1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0.99906090434202</v>
      </c>
      <c r="R90" s="117"/>
      <c r="S90" s="117"/>
      <c r="T90" s="117"/>
      <c r="U90" s="117"/>
      <c r="V90" s="117">
        <f>IF(V84="","",(-0.1067*V84*V84*V84*V84)+(0.8*V84*V84*V84)-(2.2333*V84*V84)+(2.83*V84)-0.42)</f>
        <v>0.99912603144866008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0.9984556994916538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24.097879665027804</v>
      </c>
      <c r="R91" s="117"/>
      <c r="S91" s="117"/>
      <c r="T91" s="117"/>
      <c r="U91" s="117"/>
      <c r="V91" s="117">
        <f>IF(V89="","",(V89*1000/V85)*V90)</f>
        <v>23.029114113098345</v>
      </c>
      <c r="W91" s="117"/>
      <c r="X91" s="117"/>
      <c r="Y91" s="117"/>
      <c r="Z91" s="117"/>
      <c r="AA91" s="117">
        <f>IF(AA89="","",(AA89*1000/AA85)*AA90)</f>
        <v>21.199400787515575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3495.1082708563031</v>
      </c>
      <c r="R92" s="117"/>
      <c r="S92" s="117"/>
      <c r="T92" s="117"/>
      <c r="U92" s="117"/>
      <c r="V92" s="117">
        <f>IF(V91="","",V91*145.038)</f>
        <v>3340.0966527355581</v>
      </c>
      <c r="W92" s="117"/>
      <c r="X92" s="117"/>
      <c r="Y92" s="117"/>
      <c r="Z92" s="117"/>
      <c r="AA92" s="117">
        <f>IF(AA91="","",AA91*145.038)</f>
        <v>3074.7186914196841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87.37447304216029</v>
      </c>
      <c r="R93" s="146"/>
      <c r="S93" s="146"/>
      <c r="T93" s="146"/>
      <c r="U93" s="146"/>
      <c r="V93" s="146">
        <f>IF(V91="","",(V91/$O$73)*100)</f>
        <v>83.499326008333384</v>
      </c>
      <c r="W93" s="146"/>
      <c r="X93" s="146"/>
      <c r="Y93" s="146"/>
      <c r="Z93" s="146"/>
      <c r="AA93" s="146">
        <f>IF(AA91="","",(AA91/$O$73)*100)</f>
        <v>76.865122507308115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5</v>
      </c>
      <c r="R94" s="118"/>
      <c r="S94" s="118"/>
      <c r="T94" s="118"/>
      <c r="U94" s="118"/>
      <c r="V94" s="118">
        <f>IF(V26=0,"",V26)</f>
        <v>4</v>
      </c>
      <c r="W94" s="118"/>
      <c r="X94" s="118"/>
      <c r="Y94" s="118"/>
      <c r="Z94" s="118"/>
      <c r="AA94" s="118">
        <f>IF(AA26=0,"",AA26)</f>
        <v>5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22.775464855213908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82.579640519267272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ID-0072612-2026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2026-04-04T16:24:58Z</dcterms:created>
  <dcterms:modified xsi:type="dcterms:W3CDTF">2026-04-04T16:24:58Z</dcterms:modified>
</cp:coreProperties>
</file>