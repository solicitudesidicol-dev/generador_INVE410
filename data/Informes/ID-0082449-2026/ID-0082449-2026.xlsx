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9-2026\"/>
    </mc:Choice>
  </mc:AlternateContent>
  <xr:revisionPtr revIDLastSave="0" documentId="8_{9FC83983-532A-401B-89C7-9D7B3E469540}" xr6:coauthVersionLast="47" xr6:coauthVersionMax="47" xr10:uidLastSave="{00000000-0000-0000-0000-000000000000}"/>
  <bookViews>
    <workbookView xWindow="-108" yWindow="-108" windowWidth="23256" windowHeight="12456" xr2:uid="{DA4E27FB-3946-42F6-8E5B-CEC3514BBCEC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Q84" i="1"/>
  <c r="Q90" i="1" s="1"/>
  <c r="AA83" i="1"/>
  <c r="AA86" i="1" s="1"/>
  <c r="V83" i="1"/>
  <c r="V86" i="1" s="1"/>
  <c r="Q83" i="1"/>
  <c r="Q86" i="1" s="1"/>
  <c r="AA82" i="1"/>
  <c r="AA85" i="1" s="1"/>
  <c r="V82" i="1"/>
  <c r="V85" i="1" s="1"/>
  <c r="Q82" i="1"/>
  <c r="Q85" i="1" s="1"/>
  <c r="AA81" i="1"/>
  <c r="AA84" i="1" s="1"/>
  <c r="AA90" i="1" s="1"/>
  <c r="V81" i="1"/>
  <c r="V84" i="1" s="1"/>
  <c r="V90" i="1" s="1"/>
  <c r="Q81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2" i="1"/>
  <c r="V93" i="1"/>
  <c r="Q92" i="1"/>
  <c r="Q93" i="1"/>
  <c r="AB97" i="1" s="1"/>
  <c r="AB96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0B2C90A4-A8F9-4FCB-9540-9A9FAA8F7CA6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EBB2E17B-EBBA-4D86-8C63-D761867A783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90252AF4-A46E-4F75-BF39-64784FBCDEF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62DA83D3-117D-4725-B8D2-26FB7DC164A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4C061FC1-5EC3-4FA3-ADA6-2A4833BFBE3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4FFFE545-0AEB-4B2F-AE71-D63AD7C728D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3D44D88F-C9F2-445A-AA38-3E5A8866FFC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989EEE60-FF63-4677-8479-E1A9A90EEC20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A37CDFCB-1F23-4C14-9CDA-D4E7F022721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AB125CC0-782A-4C51-8A6E-1BFD0DEA9E6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368E9F1B-C582-4A1A-9653-5F417A904F6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96D812B4-FD3B-4E1C-A1E2-D807F7488CE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D6C61A97-5771-424F-B0C7-642E88ABF16E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A23D3FC7-CCDA-4786-9449-C527D5CC464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F50FC8F5-324A-475B-A793-849EE5FD4354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<sst xmlns="http://schemas.openxmlformats.org/spreadsheetml/2006/main" count="205" uniqueCount="131">
  <si>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</si>
  <si>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</si>
  <si>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ECD-0082449</t>
  </si>
  <si>
    <t>73365</t>
  </si>
  <si>
    <t>ID Informe:</t>
  </si>
  <si>
    <t>-</t>
  </si>
  <si>
    <t>Orden de ingreso:</t>
  </si>
  <si>
    <t>R-5578-3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</si>
  <si>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</si>
  <si>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</si>
  <si>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</si>
  <si>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</si>
  <si>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</si>
  <si>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</si>
  <si>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</si>
  <si>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</si>
  <si>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</si>
  <si>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</si>
  <si>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</si>
  <si>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</si>
  <si>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</si>
  <si>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</si>
  <si>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</si>
  <si>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</si>
  <si>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</si>
  <si>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</si>
  <si>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</si>
  <si>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</si>
  <si>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</si>
  <si>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</si>
  <si>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</si>
  <si>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</si>
  <si>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</si>
  <si>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</si>
  <si>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</si>
  <si>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</si>
  <si>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</si>
  <si>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</si>
  <si>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</si>
  <si>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</si>
  <si>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</si>
  <si>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</si>
  <si>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</si>
  <si>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</si>
  <si>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</si>
  <si>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</si>
  <si>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162 - M139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</si>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</sst>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A7-48D2-A5A8-AB821C80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ABCBFAD5-8B4A-4161-A40B-06500388A9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889D8F-2BE4-4085-AF92-CF4FFB1C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4B10D2-352B-41DC-ABB0-1D8E5258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FF2A08-A439-4819-97AF-34FE3353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3409-CDC4-45A3-BC53-46C4C2334307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ID-0082449-2026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46109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ID-0082449-2026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46081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162 - M139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0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0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0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0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0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0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0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ID-0082449-2026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R-5578-3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46109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46081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162 - M139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162 - M139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 t="str">
        <f>+IF(Q17=0,"",ROUND(AVERAGE(Q34:U36),0))</f>
        <v/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 t="str">
        <f>+IF(Q20=0,"",ROUND(AVERAGE(Q37:U38),2))</f>
        <v/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 t="str">
        <f>+IF(Q22=0,"",Q22)</f>
        <v/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 t="str">
        <f>IF(Q81="","",Q81/Q82)</f>
        <v/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 t="str">
        <f>IF(Q82="","",(PI()*Q82*Q82)/4)</f>
        <v/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 t="str">
        <f>IF(Q83="","",((Q83/((Q85*Q81)))*1000)*1000)</f>
        <v/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 t="str">
        <f>IF(Q25=0,"",Q25)</f>
        <v/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 t="e">
        <f>+(-0.1067*Q84*Q84*Q84*Q84)+(0.8*Q84*Q84*Q84)-(2.2333*Q84*Q84)+(2.83*Q84)-0.42</f>
        <v>#VALUE!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 t="str">
        <f>IF(Q89="","",(Q89*1000/Q85)*Q90)</f>
        <v/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 t="str">
        <f>IF(Q91="","",Q91*145.038)</f>
        <v/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 t="str">
        <f>IF(Q91="","",(Q91/$O$73)*100)</f>
        <v/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 t="e">
        <f>AVERAGE(Q91:AE91)</f>
        <v>#DIV/0!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 t="e">
        <f>AVERAGE(Q93:AE93)</f>
        <v>#DIV/0!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ID-0082449-2026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2026-04-04T16:46:27Z</dcterms:created>
  <dcterms:modified xsi:type="dcterms:W3CDTF">2026-04-04T16:46:27Z</dcterms:modified>
</cp:coreProperties>
</file>