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ico\Documents\custom_excel\data\Informes\ID-0072608-2026\"/>
    </mc:Choice>
  </mc:AlternateContent>
  <xr:revisionPtr revIDLastSave="0" documentId="8_{5128EF6F-5109-40C0-A8D0-C79D4435961E}" xr6:coauthVersionLast="47" xr6:coauthVersionMax="47" xr10:uidLastSave="{00000000-0000-0000-0000-000000000000}"/>
  <bookViews>
    <workbookView xWindow="-108" yWindow="-108" windowWidth="23256" windowHeight="12456" xr2:uid="{7026B075-FBA0-4CBF-AEDF-5C06B7395462}"/>
  </bookViews>
  <sheets>
    <sheet name="INV410INF" sheetId="1" r:id="rId1"/>
  </sheets>
  <externalReferences>
    <externalReference r:id="rId2"/>
    <externalReference r:id="rId3"/>
    <externalReference r:id="rId4"/>
    <externalReference r:id="rId5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[3]L!#REF!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0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0">[4]!Clasificacion</definedName>
    <definedName name="Clasificacion">[4]!Clasificacion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G104" i="1"/>
  <c r="J102" i="1"/>
  <c r="G99" i="1"/>
  <c r="AA94" i="1"/>
  <c r="V94" i="1"/>
  <c r="Q94" i="1"/>
  <c r="AA89" i="1"/>
  <c r="V89" i="1"/>
  <c r="Q89" i="1"/>
  <c r="AA83" i="1"/>
  <c r="V83" i="1"/>
  <c r="Q83" i="1"/>
  <c r="Q76" i="1"/>
  <c r="Q75" i="1"/>
  <c r="N76" i="1" s="1"/>
  <c r="O73" i="1"/>
  <c r="W73" i="1" s="1"/>
  <c r="F73" i="1"/>
  <c r="G69" i="1"/>
  <c r="N68" i="1"/>
  <c r="G68" i="1"/>
  <c r="AD67" i="1"/>
  <c r="X67" i="1"/>
  <c r="R67" i="1"/>
  <c r="G67" i="1"/>
  <c r="G66" i="1"/>
  <c r="AB65" i="1"/>
  <c r="Q65" i="1"/>
  <c r="AC73" i="1" s="1"/>
  <c r="G65" i="1"/>
  <c r="AB64" i="1"/>
  <c r="Q64" i="1"/>
  <c r="J64" i="1"/>
  <c r="AA43" i="1"/>
  <c r="V43" i="1"/>
  <c r="Q43" i="1"/>
  <c r="AA42" i="1"/>
  <c r="V42" i="1"/>
  <c r="Q42" i="1"/>
  <c r="AA39" i="1"/>
  <c r="V39" i="1"/>
  <c r="Q39" i="1"/>
  <c r="AA38" i="1"/>
  <c r="V38" i="1"/>
  <c r="Q38" i="1"/>
  <c r="AA37" i="1"/>
  <c r="AA82" i="1" s="1"/>
  <c r="AA85" i="1" s="1"/>
  <c r="V37" i="1"/>
  <c r="V82" i="1" s="1"/>
  <c r="V85" i="1" s="1"/>
  <c r="Q37" i="1"/>
  <c r="Q82" i="1" s="1"/>
  <c r="Q85" i="1" s="1"/>
  <c r="AA36" i="1"/>
  <c r="V36" i="1"/>
  <c r="Q36" i="1"/>
  <c r="AA35" i="1"/>
  <c r="V35" i="1"/>
  <c r="Q35" i="1"/>
  <c r="AA34" i="1"/>
  <c r="AA81" i="1" s="1"/>
  <c r="AA84" i="1" s="1"/>
  <c r="AA90" i="1" s="1"/>
  <c r="V34" i="1"/>
  <c r="V81" i="1" s="1"/>
  <c r="Q34" i="1"/>
  <c r="Q81" i="1" s="1"/>
  <c r="Q84" i="1" s="1"/>
  <c r="Q90" i="1" s="1"/>
  <c r="AH26" i="1"/>
  <c r="AL14" i="1"/>
  <c r="Q14" i="1"/>
  <c r="Q77" i="1" s="1"/>
  <c r="N13" i="1"/>
  <c r="BY2" i="1"/>
  <c r="BY4" i="1" s="1"/>
  <c r="BW2" i="1"/>
  <c r="BW3" i="1" s="1"/>
  <c r="BV2" i="1"/>
  <c r="BW4" i="1" l="1"/>
  <c r="D3" i="1" s="1"/>
  <c r="D64" i="1" s="1"/>
  <c r="T107" i="1" s="1"/>
  <c r="BW5" i="1"/>
  <c r="AA91" i="1"/>
  <c r="V91" i="1"/>
  <c r="Q91" i="1"/>
  <c r="AA86" i="1"/>
  <c r="V86" i="1"/>
  <c r="Q86" i="1"/>
  <c r="V84" i="1"/>
  <c r="V90" i="1" s="1"/>
  <c r="AA93" i="1" l="1"/>
  <c r="AA92" i="1"/>
  <c r="V93" i="1"/>
  <c r="V92" i="1"/>
  <c r="AB96" i="1"/>
  <c r="Q93" i="1"/>
  <c r="AB97" i="1" s="1"/>
  <c r="Q9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054E9AD8-F7BB-4EFB-A94F-8A99F0C3ABA0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315832F2-4E98-4EB6-A88D-6CBB36878A65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8DCC41E0-A88A-4341-8C81-6E620A162E15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6494BC92-232C-467F-8417-C5B5678019C9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89B48376-D077-4884-BE8A-A604ED4C91BA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9B6F9FCB-6A3D-40AA-8CE9-DC6E262C10B6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3DB9DFE1-34BA-4981-B6A4-7E7A064D1173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8E810665-5BE9-43A8-A9A1-7653B566A419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5EF3AEC4-514E-49A2-ADA6-999D6B0004C2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C53C7DD1-3BD6-4DA8-A03D-A3E98E95DA99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C025EEED-531E-4225-AD23-3DFEAE87AF47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59ED998C-93C0-4F49-9A04-71441FE45530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1D38B266-1D6D-4A99-B422-993AB805E208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857063E6-1611-47C7-BE86-C731BF193573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9363E170-8D35-430B-856C-4F7C567FC444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<sst xmlns="http://schemas.openxmlformats.org/spreadsheetml/2006/main" count="205" uniqueCount="131">
  <si>
    <t>INGRESO DE DATOS DE ENSAYO</t>
  </si>
  <si>
    <t>EJEMPLO DE DILIGENCIAMIENTO DEL ENCABEZADO</t>
  </si>
  <si>
    <t>ECD-0072608</t>
  </si>
  <si>
    <t>73365</t>
  </si>
  <si>
    <t>ID Informe:</t>
  </si>
  <si>
    <t>-</t>
  </si>
  <si>
    <t>Orden de ingreso:</t>
  </si>
  <si>
    <t>R-5581-1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</si>
  <si>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</si>
  <si>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</si>
  <si>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</si>
  <si>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</si>
  <si>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</si>
  <si>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</si>
  <si>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</si>
  <si>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</si>
  <si>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</si>
  <si>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</si>
  <si>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</si>
  <si>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</si>
  <si>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FABILU S.A.S</t>
  </si>
  <si>
    <t>ESTRUCTURAS SOSTENIBLES SAS</t>
  </si>
  <si>
    <t>Dirección:</t>
  </si>
  <si>
    <t>Cr 78 # 7 b-33</t>
  </si>
  <si>
    <t>Ciudad</t>
  </si>
  <si>
    <t>Bogotá</t>
  </si>
  <si>
    <t>Departamento</t>
  </si>
  <si>
    <t>País</t>
  </si>
  <si>
    <t>Colombia</t>
  </si>
  <si>
    <t>CALLE 53 B # 45 - 16 SUR</t>
  </si>
  <si>
    <t>BTA</t>
  </si>
  <si>
    <t>C/MARCA</t>
  </si>
  <si>
    <t>COL</t>
  </si>
  <si>
    <t>ID Obra:</t>
  </si>
  <si>
    <t>OB-003095</t>
  </si>
  <si>
    <t>Obra</t>
  </si>
  <si>
    <t>CLÍNICA AVENIDA LAS AMÉRICAS</t>
  </si>
  <si>
    <t>LOS PINOS</t>
  </si>
  <si>
    <t>Procedencia:</t>
  </si>
  <si>
    <t>No aplica</t>
  </si>
  <si>
    <t>CEMEX / NO SE ESPECIFICA</t>
  </si>
  <si>
    <t>Fecha de toma</t>
  </si>
  <si>
    <t>Resistencia nominal (Mpa)</t>
  </si>
  <si>
    <t>a</t>
  </si>
  <si>
    <t>ID Muestra</t>
  </si>
  <si>
    <t>#</t>
  </si>
  <si>
    <t>PL 7 - M138</t>
  </si>
  <si>
    <t>Localización</t>
  </si>
  <si>
    <t>NO ESPECIFICA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</si>
  <si>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</si>
  <si>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</si>
  <si>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</si>
  <si>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</si>
  <si>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</si>
  <si>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</si>
  <si>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</si>
  <si>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</si>
  <si>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</si>
  <si>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</si>
  <si>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</si>
  <si>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</si>
  <si>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</si>
  <si>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</si>
  <si>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</si>
  <si>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</si>
  <si>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</si>
  <si>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</si>
  <si>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</si>
  <si>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</si>
  <si>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</si>
  <si>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</si>
  <si>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</si>
  <si>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</si>
  <si>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</si>
  <si>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</si>
  <si>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</si>
  <si>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</si>
  <si>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</si>
  <si>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</si>
  <si>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</si>
  <si>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</si>
  <si>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</si>
  <si>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</si>
  <si>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EQ-0538 Balanza 15000 g, EQ-0539 Prensa compresión 1000 kN, EQ-0528 Prensa universal, EQ-0592 Pie de rey (300 mm), EQ-0565 Bloque patrón para medición de longitudes (Bloque de 0.118 pulgadas), EQ-0625 Galga 2 mm.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</si>
  <si>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</si>
  <si>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</si>
  <si>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</si>
  <si>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</si>
  <si>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</si>
  <si>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</si>
  <si>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</si>
  <si>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</si>
  <si>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</si>
  <si>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</si>
  <si>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</si>
  <si>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</si>
  <si>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</si>
  <si>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</si>
  <si>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</si>
  <si>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</si>
  <si>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</si>
  <si>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</si>
  <si>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</si>
  <si>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</si>
  <si>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</si>
  <si>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</si>
  <si>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</si>
  <si>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</si>
  <si>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</si>
  <si>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</si>
  <si>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</si>
  <si>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</si>
  <si>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r>
      <t>mm</t>
    </r>
    <r>
      <rPr>
        <sz val="8"/>
        <color theme="1"/>
        <rFont val="Calibri"/>
        <family val="2"/>
      </rPr>
      <t>²</t>
    </r>
  </si>
  <si>
    <t>Densidad</t>
  </si>
  <si>
    <r>
      <t>Kg/m</t>
    </r>
    <r>
      <rPr>
        <sz val="8"/>
        <color theme="1"/>
        <rFont val="Calibri"/>
        <family val="2"/>
      </rPr>
      <t>³</t>
    </r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</si>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</sst>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"/>
    <numFmt numFmtId="167" formatCode="0.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sz val="8"/>
      <color theme="1"/>
      <name val="Calibri"/>
      <family val="2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5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horizontal="center" vertical="center" shrinkToFi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4" fillId="4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4" borderId="0" xfId="0" applyFont="1" applyFill="1" applyAlignment="1" applyProtection="1">
      <alignment horizontal="left" vertical="top"/>
      <protection locked="0"/>
    </xf>
    <xf numFmtId="0" fontId="9" fillId="4" borderId="16" xfId="0" applyFont="1" applyFill="1" applyBorder="1" applyAlignment="1" applyProtection="1">
      <alignment horizontal="left" vertical="top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8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9" borderId="0" xfId="0" applyFont="1" applyFill="1"/>
    <xf numFmtId="0" fontId="7" fillId="8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4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166" fontId="7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74-4963-A84B-1F7A206B2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9A0D2C4E-6E83-47A4-8EB8-60A13846E15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654932-8D38-489E-B36F-C7E8BCAB2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CACE643-14C1-4C06-AFC9-3FDE1305A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33D8456-CFC5-46DA-9674-C6165C384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ueba.xlsx" TargetMode="External"/><Relationship Id="rId2" Type="http://schemas.openxmlformats.org/officeDocument/2006/relationships/externalLinkPath" Target="file:///C:\Users\idico\Documents\custom_excel\data\prueba.xlsx" TargetMode="External"/><Relationship Id="rId1" Type="http://schemas.openxmlformats.org/officeDocument/2006/relationships/externalLinkPath" Target="/Users/idico/Documents/custom_excel/data/prueb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E 410"/>
      <sheetName val="Pendientes_Generar"/>
      <sheetName val="Data_final"/>
      <sheetName val="INV410INF"/>
    </sheetNames>
    <sheetDataSet>
      <sheetData sheetId="0"/>
      <sheetData sheetId="1"/>
      <sheetData sheetId="2"/>
      <sheetData sheetId="3">
        <row r="44">
          <cell r="AQ44">
            <v>1</v>
          </cell>
          <cell r="AR44">
            <v>0.87</v>
          </cell>
        </row>
        <row r="45">
          <cell r="AQ45">
            <v>1.25</v>
          </cell>
          <cell r="AR45">
            <v>0.93</v>
          </cell>
        </row>
        <row r="46">
          <cell r="AQ46">
            <v>1.5</v>
          </cell>
          <cell r="AR46">
            <v>0.96</v>
          </cell>
        </row>
        <row r="47">
          <cell r="AQ47">
            <v>1.75</v>
          </cell>
          <cell r="AR47">
            <v>0.98</v>
          </cell>
        </row>
        <row r="48">
          <cell r="AQ48">
            <v>2</v>
          </cell>
          <cell r="AR4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FA3C-4B47-46E4-9A63-E3283CF59C04}">
  <sheetPr>
    <tabColor rgb="FFFF0000"/>
    <pageSetUpPr fitToPage="1"/>
  </sheetPr>
  <dimension ref="A1:BY121"/>
  <sheetViews>
    <sheetView tabSelected="1"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" customWidth="1"/>
    <col min="21" max="23" width="3.6640625" style="2" customWidth="1"/>
    <col min="24" max="32" width="3" style="2" customWidth="1"/>
    <col min="33" max="33" width="7.44140625" style="2" customWidth="1"/>
    <col min="34" max="34" width="9.33203125" style="2" customWidth="1"/>
    <col min="35" max="42" width="3" style="2" customWidth="1"/>
    <col min="43" max="44" width="12" style="2" customWidth="1"/>
    <col min="45" max="73" width="3" style="2" customWidth="1"/>
    <col min="74" max="74" width="25.88671875" style="2" customWidth="1"/>
    <col min="75" max="75" width="12.109375" style="2" customWidth="1"/>
    <col min="76" max="76" width="3" style="2" customWidth="1"/>
    <col min="77" max="77" width="26.88671875" style="2" customWidth="1"/>
    <col min="78" max="217" width="3" style="2" customWidth="1"/>
    <col min="218" max="221" width="3.33203125" style="2" customWidth="1"/>
    <col min="222" max="16384" width="11.33203125" style="2"/>
  </cols>
  <sheetData>
    <row r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3" t="s">
        <v>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V1" s="4">
        <v>39852</v>
      </c>
      <c r="BW1" s="4" t="s">
        <v>2</v>
      </c>
      <c r="BY1" s="4" t="s">
        <v>3</v>
      </c>
    </row>
    <row r="2" spans="1:77" ht="8.4" customHeight="1">
      <c r="BV2" s="4">
        <f>+_xlfn.NUMBERVALUE(BV1)</f>
        <v>39852</v>
      </c>
      <c r="BW2" s="5">
        <f ca="1">+TODAY()</f>
        <v>46116</v>
      </c>
      <c r="BY2" s="4" t="str">
        <f>+TEXT(BY1,"0000000")</f>
        <v>0073365</v>
      </c>
    </row>
    <row r="3" spans="1:77">
      <c r="A3" s="6" t="s">
        <v>4</v>
      </c>
      <c r="B3" s="7"/>
      <c r="C3" s="7"/>
      <c r="D3" s="8" t="str">
        <f ca="1">+BW4</f>
        <v>ID-0072608-2026</v>
      </c>
      <c r="E3" s="9"/>
      <c r="F3" s="9"/>
      <c r="G3" s="9"/>
      <c r="H3" s="9"/>
      <c r="I3" s="10" t="s">
        <v>5</v>
      </c>
      <c r="J3" s="11">
        <v>1</v>
      </c>
      <c r="K3" s="12" t="s">
        <v>6</v>
      </c>
      <c r="L3" s="13"/>
      <c r="M3" s="13"/>
      <c r="N3" s="13"/>
      <c r="O3" s="13"/>
      <c r="P3" s="14"/>
      <c r="Q3" s="9" t="s">
        <v>7</v>
      </c>
      <c r="R3" s="9"/>
      <c r="S3" s="9"/>
      <c r="T3" s="9"/>
      <c r="U3" s="15"/>
      <c r="V3" s="12" t="s">
        <v>8</v>
      </c>
      <c r="W3" s="13"/>
      <c r="X3" s="13"/>
      <c r="Y3" s="13"/>
      <c r="Z3" s="13"/>
      <c r="AA3" s="14"/>
      <c r="AB3" s="16" t="s">
        <v>9</v>
      </c>
      <c r="AC3" s="16"/>
      <c r="AD3" s="16"/>
      <c r="AE3" s="16"/>
      <c r="AF3" s="16"/>
      <c r="AI3" s="6" t="s">
        <v>4</v>
      </c>
      <c r="AJ3" s="7"/>
      <c r="AK3" s="7"/>
      <c r="AL3" s="17" t="s">
        <v>10</v>
      </c>
      <c r="AM3" s="18"/>
      <c r="AN3" s="18"/>
      <c r="AO3" s="18"/>
      <c r="AP3" s="18"/>
      <c r="AQ3" s="10" t="s">
        <v>5</v>
      </c>
      <c r="AR3" s="19">
        <v>1</v>
      </c>
      <c r="AS3" s="12" t="s">
        <v>6</v>
      </c>
      <c r="AT3" s="13"/>
      <c r="AU3" s="13"/>
      <c r="AV3" s="13"/>
      <c r="AW3" s="13"/>
      <c r="AX3" s="14"/>
      <c r="AY3" s="18" t="s">
        <v>11</v>
      </c>
      <c r="AZ3" s="18"/>
      <c r="BA3" s="18"/>
      <c r="BB3" s="18"/>
      <c r="BC3" s="20"/>
      <c r="BD3" s="12" t="s">
        <v>8</v>
      </c>
      <c r="BE3" s="13"/>
      <c r="BF3" s="13"/>
      <c r="BG3" s="13"/>
      <c r="BH3" s="13"/>
      <c r="BI3" s="14"/>
      <c r="BJ3" s="21" t="s">
        <v>9</v>
      </c>
      <c r="BK3" s="21"/>
      <c r="BL3" s="21"/>
      <c r="BM3" s="21"/>
      <c r="BN3" s="21"/>
      <c r="BV3" s="4"/>
      <c r="BW3" s="4">
        <f ca="1">+YEAR(BW2)</f>
        <v>2026</v>
      </c>
      <c r="BY3" s="4" t="s">
        <v>12</v>
      </c>
    </row>
    <row r="4" spans="1:77">
      <c r="A4" s="22" t="s">
        <v>13</v>
      </c>
      <c r="B4" s="22"/>
      <c r="C4" s="22"/>
      <c r="D4" s="23"/>
      <c r="E4" s="23"/>
      <c r="F4" s="23"/>
      <c r="G4" s="24">
        <v>46090</v>
      </c>
      <c r="H4" s="25"/>
      <c r="I4" s="25"/>
      <c r="J4" s="25"/>
      <c r="K4" s="12" t="s">
        <v>14</v>
      </c>
      <c r="L4" s="13"/>
      <c r="M4" s="13"/>
      <c r="N4" s="13"/>
      <c r="O4" s="13"/>
      <c r="P4" s="14"/>
      <c r="Q4" s="26">
        <v>46108</v>
      </c>
      <c r="R4" s="16"/>
      <c r="S4" s="16"/>
      <c r="T4" s="16"/>
      <c r="U4" s="16"/>
      <c r="V4" s="12" t="s">
        <v>15</v>
      </c>
      <c r="W4" s="13"/>
      <c r="X4" s="13"/>
      <c r="Y4" s="13"/>
      <c r="Z4" s="13"/>
      <c r="AA4" s="14"/>
      <c r="AB4" s="26">
        <v>46116</v>
      </c>
      <c r="AC4" s="27"/>
      <c r="AD4" s="27"/>
      <c r="AE4" s="27"/>
      <c r="AF4" s="27"/>
      <c r="AI4" s="28" t="s">
        <v>13</v>
      </c>
      <c r="AJ4" s="28"/>
      <c r="AK4" s="28"/>
      <c r="AL4" s="29"/>
      <c r="AM4" s="29"/>
      <c r="AN4" s="29"/>
      <c r="AO4" s="30" t="s">
        <v>16</v>
      </c>
      <c r="AP4" s="30"/>
      <c r="AQ4" s="30"/>
      <c r="AR4" s="30"/>
      <c r="AS4" s="12" t="s">
        <v>14</v>
      </c>
      <c r="AT4" s="13"/>
      <c r="AU4" s="13"/>
      <c r="AV4" s="13"/>
      <c r="AW4" s="13"/>
      <c r="AX4" s="14"/>
      <c r="AY4" s="21" t="s">
        <v>17</v>
      </c>
      <c r="AZ4" s="21"/>
      <c r="BA4" s="21"/>
      <c r="BB4" s="21"/>
      <c r="BC4" s="21"/>
      <c r="BD4" s="12" t="s">
        <v>15</v>
      </c>
      <c r="BE4" s="13"/>
      <c r="BF4" s="13"/>
      <c r="BG4" s="13"/>
      <c r="BH4" s="13"/>
      <c r="BI4" s="14"/>
      <c r="BJ4" s="21" t="s">
        <v>18</v>
      </c>
      <c r="BK4" s="21"/>
      <c r="BL4" s="21"/>
      <c r="BM4" s="21"/>
      <c r="BN4" s="21"/>
      <c r="BV4" s="4"/>
      <c r="BW4" s="4" t="str">
        <f ca="1">+CONCATENATE("ID-",MID(BW1,5,7),"-",BW3)</f>
        <v>ID-0072608-2026</v>
      </c>
      <c r="BY4" s="4" t="str">
        <f>BY3&amp;BY2</f>
        <v>ECD-0073365</v>
      </c>
    </row>
    <row r="5" spans="1:77">
      <c r="A5" s="31" t="s">
        <v>19</v>
      </c>
      <c r="B5" s="31"/>
      <c r="C5" s="31"/>
      <c r="D5" s="31"/>
      <c r="E5" s="31"/>
      <c r="F5" s="31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I5" s="31" t="s">
        <v>19</v>
      </c>
      <c r="AJ5" s="31"/>
      <c r="AK5" s="31"/>
      <c r="AL5" s="31"/>
      <c r="AM5" s="31"/>
      <c r="AN5" s="31"/>
      <c r="AO5" s="33" t="s">
        <v>21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V5" s="4"/>
      <c r="BW5" s="4" t="str">
        <f ca="1">+CONCATENATE("-",BW3)</f>
        <v>-2026</v>
      </c>
    </row>
    <row r="6" spans="1:77">
      <c r="A6" s="34" t="s">
        <v>22</v>
      </c>
      <c r="B6" s="34"/>
      <c r="C6" s="34"/>
      <c r="D6" s="34"/>
      <c r="E6" s="34"/>
      <c r="F6" s="34"/>
      <c r="G6" s="35" t="s">
        <v>23</v>
      </c>
      <c r="H6" s="35"/>
      <c r="I6" s="35"/>
      <c r="J6" s="35"/>
      <c r="K6" s="35"/>
      <c r="L6" s="35"/>
      <c r="M6" s="35"/>
      <c r="N6" s="35"/>
      <c r="O6" s="36" t="s">
        <v>24</v>
      </c>
      <c r="P6" s="36"/>
      <c r="Q6" s="36"/>
      <c r="R6" s="35" t="s">
        <v>25</v>
      </c>
      <c r="S6" s="35"/>
      <c r="T6" s="35"/>
      <c r="U6" s="36" t="s">
        <v>26</v>
      </c>
      <c r="V6" s="36"/>
      <c r="W6" s="36"/>
      <c r="X6" s="35" t="s">
        <v>25</v>
      </c>
      <c r="Y6" s="35"/>
      <c r="Z6" s="35"/>
      <c r="AA6" s="36" t="s">
        <v>27</v>
      </c>
      <c r="AB6" s="36"/>
      <c r="AC6" s="36"/>
      <c r="AD6" s="35" t="s">
        <v>28</v>
      </c>
      <c r="AE6" s="35"/>
      <c r="AF6" s="35"/>
      <c r="AI6" s="34" t="s">
        <v>22</v>
      </c>
      <c r="AJ6" s="34"/>
      <c r="AK6" s="34"/>
      <c r="AL6" s="34"/>
      <c r="AM6" s="34"/>
      <c r="AN6" s="34"/>
      <c r="AO6" s="37" t="s">
        <v>29</v>
      </c>
      <c r="AP6" s="37"/>
      <c r="AQ6" s="37"/>
      <c r="AR6" s="37"/>
      <c r="AS6" s="37"/>
      <c r="AT6" s="37"/>
      <c r="AU6" s="37"/>
      <c r="AV6" s="37"/>
      <c r="AW6" s="36" t="s">
        <v>24</v>
      </c>
      <c r="AX6" s="36"/>
      <c r="AY6" s="36"/>
      <c r="AZ6" s="37" t="s">
        <v>30</v>
      </c>
      <c r="BA6" s="37"/>
      <c r="BB6" s="37"/>
      <c r="BC6" s="36" t="s">
        <v>26</v>
      </c>
      <c r="BD6" s="36"/>
      <c r="BE6" s="36"/>
      <c r="BF6" s="37" t="s">
        <v>31</v>
      </c>
      <c r="BG6" s="37"/>
      <c r="BH6" s="37"/>
      <c r="BI6" s="36" t="s">
        <v>27</v>
      </c>
      <c r="BJ6" s="36"/>
      <c r="BK6" s="36"/>
      <c r="BL6" s="37" t="s">
        <v>32</v>
      </c>
      <c r="BM6" s="37"/>
      <c r="BN6" s="37"/>
      <c r="BV6" s="4"/>
      <c r="BW6" s="4"/>
    </row>
    <row r="7" spans="1:77">
      <c r="A7" s="34" t="s">
        <v>33</v>
      </c>
      <c r="B7" s="34"/>
      <c r="C7" s="34"/>
      <c r="D7" s="34"/>
      <c r="E7" s="34"/>
      <c r="F7" s="34"/>
      <c r="G7" s="35" t="s">
        <v>34</v>
      </c>
      <c r="H7" s="35"/>
      <c r="I7" s="35"/>
      <c r="J7" s="35"/>
      <c r="K7" s="36" t="s">
        <v>35</v>
      </c>
      <c r="L7" s="36"/>
      <c r="M7" s="36"/>
      <c r="N7" s="38" t="s">
        <v>36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I7" s="34" t="s">
        <v>33</v>
      </c>
      <c r="AJ7" s="34"/>
      <c r="AK7" s="34"/>
      <c r="AL7" s="34"/>
      <c r="AM7" s="34"/>
      <c r="AN7" s="34"/>
      <c r="AO7" s="37" t="s">
        <v>5</v>
      </c>
      <c r="AP7" s="37"/>
      <c r="AQ7" s="37"/>
      <c r="AR7" s="37"/>
      <c r="AS7" s="36" t="s">
        <v>35</v>
      </c>
      <c r="AT7" s="36"/>
      <c r="AU7" s="36"/>
      <c r="AV7" s="37" t="s">
        <v>37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</row>
    <row r="8" spans="1:77">
      <c r="A8" s="34" t="s">
        <v>38</v>
      </c>
      <c r="B8" s="34"/>
      <c r="C8" s="34"/>
      <c r="D8" s="34"/>
      <c r="E8" s="34"/>
      <c r="F8" s="34"/>
      <c r="G8" s="35" t="s">
        <v>39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I8" s="34" t="s">
        <v>38</v>
      </c>
      <c r="AJ8" s="34"/>
      <c r="AK8" s="34"/>
      <c r="AL8" s="34"/>
      <c r="AM8" s="34"/>
      <c r="AN8" s="34"/>
      <c r="AO8" s="37" t="s">
        <v>40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77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  <c r="Y9" s="2">
        <v>25</v>
      </c>
      <c r="Z9" s="2">
        <v>26</v>
      </c>
      <c r="AA9" s="2">
        <v>27</v>
      </c>
      <c r="AB9" s="2">
        <v>28</v>
      </c>
      <c r="AC9" s="2">
        <v>29</v>
      </c>
      <c r="AD9" s="2">
        <v>30</v>
      </c>
      <c r="AE9" s="2">
        <v>31</v>
      </c>
      <c r="AF9" s="2">
        <v>32</v>
      </c>
      <c r="AG9" s="2">
        <v>33</v>
      </c>
      <c r="AH9" s="2">
        <v>34</v>
      </c>
      <c r="AI9" s="2">
        <v>35</v>
      </c>
      <c r="AJ9" s="2">
        <v>36</v>
      </c>
      <c r="AK9" s="2">
        <v>37</v>
      </c>
      <c r="AL9" s="2">
        <v>38</v>
      </c>
      <c r="AM9" s="2">
        <v>39</v>
      </c>
      <c r="AN9" s="2">
        <v>40</v>
      </c>
      <c r="AO9" s="2">
        <v>41</v>
      </c>
      <c r="AP9" s="2">
        <v>42</v>
      </c>
      <c r="AQ9" s="2">
        <v>43</v>
      </c>
      <c r="AR9" s="2">
        <v>44</v>
      </c>
      <c r="AS9" s="2">
        <v>45</v>
      </c>
      <c r="AT9" s="2">
        <v>46</v>
      </c>
      <c r="AU9" s="2">
        <v>47</v>
      </c>
      <c r="AV9" s="2">
        <v>48</v>
      </c>
      <c r="AW9" s="2">
        <v>49</v>
      </c>
      <c r="AX9" s="2">
        <v>50</v>
      </c>
      <c r="AY9" s="2">
        <v>51</v>
      </c>
      <c r="AZ9" s="2">
        <v>52</v>
      </c>
      <c r="BA9" s="2">
        <v>53</v>
      </c>
      <c r="BB9" s="2">
        <v>54</v>
      </c>
      <c r="BC9" s="2">
        <v>55</v>
      </c>
      <c r="BD9" s="2">
        <v>56</v>
      </c>
      <c r="BE9" s="2">
        <v>57</v>
      </c>
      <c r="BF9" s="2">
        <v>58</v>
      </c>
      <c r="BG9" s="2">
        <v>59</v>
      </c>
      <c r="BH9" s="2">
        <v>60</v>
      </c>
      <c r="BI9" s="2">
        <v>61</v>
      </c>
      <c r="BJ9" s="2">
        <v>62</v>
      </c>
      <c r="BK9" s="2">
        <v>63</v>
      </c>
      <c r="BL9" s="2">
        <v>64</v>
      </c>
      <c r="BM9" s="2">
        <v>65</v>
      </c>
      <c r="BN9" s="2">
        <v>66</v>
      </c>
      <c r="BO9" s="2">
        <v>67</v>
      </c>
      <c r="BP9" s="2">
        <v>68</v>
      </c>
      <c r="BQ9" s="2">
        <v>69</v>
      </c>
      <c r="BR9" s="2">
        <v>70</v>
      </c>
      <c r="BS9" s="2">
        <v>71</v>
      </c>
      <c r="BT9" s="2">
        <v>72</v>
      </c>
      <c r="BU9" s="2">
        <v>73</v>
      </c>
      <c r="BV9" s="2">
        <v>74</v>
      </c>
      <c r="BW9" s="2">
        <v>75</v>
      </c>
      <c r="BX9" s="2">
        <v>76</v>
      </c>
      <c r="BY9" s="2">
        <v>77</v>
      </c>
    </row>
    <row r="10" spans="1:77" ht="21.6" customHeight="1">
      <c r="B10" s="39" t="s">
        <v>41</v>
      </c>
      <c r="C10" s="40"/>
      <c r="D10" s="40"/>
      <c r="E10" s="40"/>
      <c r="F10" s="26">
        <v>46080</v>
      </c>
      <c r="G10" s="26"/>
      <c r="H10" s="26"/>
      <c r="I10" s="41"/>
      <c r="J10" s="42" t="s">
        <v>42</v>
      </c>
      <c r="K10" s="42"/>
      <c r="L10" s="42"/>
      <c r="M10" s="42"/>
      <c r="N10" s="42"/>
      <c r="O10" s="43">
        <v>27.58</v>
      </c>
      <c r="P10" s="43"/>
      <c r="Q10" s="41"/>
      <c r="R10" s="41"/>
      <c r="S10" s="41"/>
      <c r="T10" s="41"/>
      <c r="U10" s="41"/>
      <c r="V10" s="44" t="s">
        <v>43</v>
      </c>
      <c r="W10" s="41"/>
      <c r="X10" s="41"/>
      <c r="Y10" s="41"/>
      <c r="Z10" s="41"/>
      <c r="AA10" s="41"/>
      <c r="AB10" s="41"/>
      <c r="AC10" s="41"/>
      <c r="AD10" s="41"/>
      <c r="AE10" s="41"/>
    </row>
    <row r="11" spans="1:77" ht="9.6" customHeight="1">
      <c r="B11" s="45"/>
      <c r="C11" s="45"/>
      <c r="D11" s="45"/>
      <c r="E11" s="45"/>
      <c r="F11" s="45"/>
      <c r="G11" s="45"/>
      <c r="H11" s="46"/>
      <c r="I11" s="46"/>
      <c r="J11" s="46"/>
      <c r="K11" s="41"/>
      <c r="L11" s="46"/>
      <c r="M11" s="46"/>
      <c r="N11" s="46"/>
      <c r="O11" s="46"/>
      <c r="P11" s="46"/>
      <c r="Q11" s="46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77" ht="21.6" customHeight="1">
      <c r="B12" s="39" t="s">
        <v>44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8"/>
      <c r="N12" s="28" t="s">
        <v>45</v>
      </c>
      <c r="O12" s="28"/>
      <c r="P12" s="28"/>
      <c r="Q12" s="16" t="s">
        <v>46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77" ht="31.95" customHeight="1">
      <c r="B13" s="49" t="s">
        <v>47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28" t="str">
        <f>+Q12</f>
        <v>PL 7 - M138</v>
      </c>
      <c r="O13" s="28"/>
      <c r="P13" s="28"/>
      <c r="Q13" s="52" t="s">
        <v>48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I13" s="53" t="s">
        <v>49</v>
      </c>
      <c r="AJ13" s="53"/>
      <c r="AK13" s="53"/>
      <c r="AL13" s="53" t="s">
        <v>50</v>
      </c>
      <c r="AM13" s="53"/>
      <c r="AN13" s="53"/>
      <c r="AT13" s="41"/>
    </row>
    <row r="14" spans="1:77" ht="21.6" customHeight="1">
      <c r="B14" s="39" t="s">
        <v>51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8"/>
      <c r="N14" s="28" t="s">
        <v>5</v>
      </c>
      <c r="O14" s="28"/>
      <c r="P14" s="28"/>
      <c r="Q14" s="54" t="str">
        <f>+VLOOKUP(V10,AZ17:BA24,2,FALSE)</f>
        <v>Cilindro de concreto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I14" s="55">
        <v>3000</v>
      </c>
      <c r="AJ14" s="55"/>
      <c r="AK14" s="55"/>
      <c r="AL14" s="53">
        <f>AI14*0.00689476</f>
        <v>20.684280000000001</v>
      </c>
      <c r="AM14" s="53"/>
      <c r="AN14" s="53"/>
    </row>
    <row r="15" spans="1:77" ht="9.6" customHeight="1" thickBot="1"/>
    <row r="16" spans="1:77">
      <c r="B16" s="56" t="s">
        <v>52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H16" s="2" t="s">
        <v>53</v>
      </c>
      <c r="AN16" s="2" t="s">
        <v>54</v>
      </c>
    </row>
    <row r="17" spans="2:62" ht="14.4">
      <c r="B17" s="59" t="s">
        <v>55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28" t="s">
        <v>56</v>
      </c>
      <c r="O17" s="28"/>
      <c r="P17" s="28"/>
      <c r="Q17" s="62">
        <v>201.66</v>
      </c>
      <c r="R17" s="62"/>
      <c r="S17" s="62"/>
      <c r="T17" s="62"/>
      <c r="U17" s="62"/>
      <c r="V17" s="62">
        <v>202.32</v>
      </c>
      <c r="W17" s="62"/>
      <c r="X17" s="62"/>
      <c r="Y17" s="62"/>
      <c r="Z17" s="62"/>
      <c r="AA17" s="43">
        <v>201.78</v>
      </c>
      <c r="AB17" s="43"/>
      <c r="AC17" s="43"/>
      <c r="AD17" s="43"/>
      <c r="AE17" s="43"/>
      <c r="AH17" s="41" t="s">
        <v>57</v>
      </c>
      <c r="AI17" s="41"/>
      <c r="AJ17" s="41"/>
      <c r="AK17" s="41"/>
      <c r="AL17" s="41"/>
      <c r="AM17" s="41"/>
      <c r="AN17" s="41">
        <v>1</v>
      </c>
      <c r="AO17" s="41"/>
      <c r="AP17" s="41"/>
      <c r="AQ17" s="41"/>
      <c r="AR17" s="41"/>
      <c r="AS17" s="41"/>
      <c r="AZ17" s="2" t="s">
        <v>43</v>
      </c>
      <c r="BA17" s="2" t="s">
        <v>58</v>
      </c>
    </row>
    <row r="18" spans="2:62" ht="14.4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28" t="s">
        <v>56</v>
      </c>
      <c r="O18" s="28"/>
      <c r="P18" s="28"/>
      <c r="Q18" s="62">
        <v>202.48</v>
      </c>
      <c r="R18" s="62"/>
      <c r="S18" s="62"/>
      <c r="T18" s="62"/>
      <c r="U18" s="62"/>
      <c r="V18" s="62">
        <v>201.44</v>
      </c>
      <c r="W18" s="62"/>
      <c r="X18" s="62"/>
      <c r="Y18" s="62"/>
      <c r="Z18" s="62"/>
      <c r="AA18" s="43">
        <v>202.66</v>
      </c>
      <c r="AB18" s="43"/>
      <c r="AC18" s="43"/>
      <c r="AD18" s="43"/>
      <c r="AE18" s="43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Z18" s="2" t="s">
        <v>59</v>
      </c>
      <c r="BA18" s="2" t="s">
        <v>60</v>
      </c>
    </row>
    <row r="19" spans="2:62" ht="14.4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28" t="s">
        <v>56</v>
      </c>
      <c r="O19" s="28"/>
      <c r="P19" s="28"/>
      <c r="Q19" s="62">
        <v>201.32</v>
      </c>
      <c r="R19" s="62"/>
      <c r="S19" s="62"/>
      <c r="T19" s="62"/>
      <c r="U19" s="62"/>
      <c r="V19" s="62">
        <v>202.32</v>
      </c>
      <c r="W19" s="62"/>
      <c r="X19" s="62"/>
      <c r="Y19" s="62"/>
      <c r="Z19" s="62"/>
      <c r="AA19" s="43">
        <v>201.78</v>
      </c>
      <c r="AB19" s="43"/>
      <c r="AC19" s="43"/>
      <c r="AD19" s="43"/>
      <c r="AE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Z19" s="2" t="s">
        <v>61</v>
      </c>
      <c r="BA19" s="2" t="s">
        <v>62</v>
      </c>
    </row>
    <row r="20" spans="2:62" ht="14.4">
      <c r="B20" s="59" t="s">
        <v>63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28" t="s">
        <v>56</v>
      </c>
      <c r="O20" s="28"/>
      <c r="P20" s="28"/>
      <c r="Q20" s="69">
        <v>101.46</v>
      </c>
      <c r="R20" s="69"/>
      <c r="S20" s="69"/>
      <c r="T20" s="69"/>
      <c r="U20" s="69"/>
      <c r="V20" s="69">
        <v>102.64</v>
      </c>
      <c r="W20" s="69"/>
      <c r="X20" s="69"/>
      <c r="Y20" s="69"/>
      <c r="Z20" s="69"/>
      <c r="AA20" s="38">
        <v>101.42</v>
      </c>
      <c r="AB20" s="38"/>
      <c r="AC20" s="38"/>
      <c r="AD20" s="38"/>
      <c r="AE20" s="38"/>
      <c r="AH20" s="41" t="s">
        <v>64</v>
      </c>
      <c r="AI20" s="41"/>
      <c r="AJ20" s="41"/>
      <c r="AK20" s="41"/>
      <c r="AL20" s="41"/>
      <c r="AM20" s="41"/>
      <c r="AN20" s="41">
        <v>2</v>
      </c>
      <c r="AO20" s="41"/>
      <c r="AP20" s="41"/>
      <c r="AQ20" s="41"/>
      <c r="AR20" s="41"/>
      <c r="AS20" s="41"/>
      <c r="AZ20" s="2" t="s">
        <v>65</v>
      </c>
      <c r="BA20" s="2" t="s">
        <v>66</v>
      </c>
    </row>
    <row r="21" spans="2:62" ht="14.4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28" t="s">
        <v>56</v>
      </c>
      <c r="O21" s="28"/>
      <c r="P21" s="28"/>
      <c r="Q21" s="69">
        <v>102.68</v>
      </c>
      <c r="R21" s="69"/>
      <c r="S21" s="69"/>
      <c r="T21" s="69"/>
      <c r="U21" s="69"/>
      <c r="V21" s="69">
        <v>101.56</v>
      </c>
      <c r="W21" s="69"/>
      <c r="X21" s="69"/>
      <c r="Y21" s="69"/>
      <c r="Z21" s="69"/>
      <c r="AA21" s="38">
        <v>102.36</v>
      </c>
      <c r="AB21" s="38"/>
      <c r="AC21" s="38"/>
      <c r="AD21" s="38"/>
      <c r="AE21" s="38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Z21" s="2" t="s">
        <v>67</v>
      </c>
      <c r="BA21" s="2" t="s">
        <v>68</v>
      </c>
    </row>
    <row r="22" spans="2:62" ht="14.4">
      <c r="B22" s="70" t="s">
        <v>69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28" t="s">
        <v>70</v>
      </c>
      <c r="O22" s="28"/>
      <c r="P22" s="28"/>
      <c r="Q22" s="62">
        <v>3465</v>
      </c>
      <c r="R22" s="62"/>
      <c r="S22" s="62"/>
      <c r="T22" s="62"/>
      <c r="U22" s="62"/>
      <c r="V22" s="62">
        <v>3564</v>
      </c>
      <c r="W22" s="62"/>
      <c r="X22" s="62"/>
      <c r="Y22" s="62"/>
      <c r="Z22" s="62"/>
      <c r="AA22" s="62">
        <v>3653</v>
      </c>
      <c r="AB22" s="62"/>
      <c r="AC22" s="62"/>
      <c r="AD22" s="62"/>
      <c r="AE22" s="62"/>
      <c r="AH22" s="41" t="s">
        <v>71</v>
      </c>
      <c r="AI22" s="41"/>
      <c r="AJ22" s="41"/>
      <c r="AK22" s="41"/>
      <c r="AL22" s="41"/>
      <c r="AM22" s="41"/>
      <c r="AN22" s="41">
        <v>3</v>
      </c>
      <c r="AO22" s="41"/>
      <c r="AP22" s="41"/>
      <c r="AQ22" s="41"/>
      <c r="AR22" s="41"/>
      <c r="AS22" s="41"/>
      <c r="AZ22" s="2" t="s">
        <v>72</v>
      </c>
      <c r="BA22" s="2" t="s">
        <v>73</v>
      </c>
    </row>
    <row r="23" spans="2:62" ht="15" thickBot="1">
      <c r="AH23" s="41" t="s">
        <v>74</v>
      </c>
      <c r="AI23" s="41"/>
      <c r="AJ23" s="41"/>
      <c r="AK23" s="41"/>
      <c r="AL23" s="41"/>
      <c r="AM23" s="41"/>
      <c r="AN23" s="41">
        <v>4</v>
      </c>
      <c r="AO23" s="41"/>
      <c r="AP23" s="41"/>
      <c r="AQ23" s="41"/>
      <c r="AR23" s="41"/>
      <c r="AS23" s="41"/>
      <c r="AZ23" s="2" t="s">
        <v>70</v>
      </c>
      <c r="BA23" s="2" t="s">
        <v>75</v>
      </c>
    </row>
    <row r="24" spans="2:62" ht="14.4">
      <c r="B24" s="56" t="s">
        <v>76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H24" s="41"/>
      <c r="AI24" s="41"/>
      <c r="AJ24" s="41"/>
      <c r="AK24" s="41"/>
      <c r="AL24" s="41"/>
      <c r="AM24" s="41"/>
      <c r="AN24" s="41">
        <v>5</v>
      </c>
      <c r="AO24" s="41"/>
      <c r="AP24" s="41"/>
      <c r="AQ24" s="41"/>
      <c r="AR24" s="41"/>
      <c r="AS24" s="41"/>
      <c r="AZ24" s="2" t="s">
        <v>77</v>
      </c>
      <c r="BA24" s="2" t="s">
        <v>78</v>
      </c>
    </row>
    <row r="25" spans="2:62">
      <c r="B25" s="71" t="s">
        <v>79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 t="s">
        <v>80</v>
      </c>
      <c r="O25" s="28"/>
      <c r="P25" s="28"/>
      <c r="Q25" s="43">
        <v>351.8</v>
      </c>
      <c r="R25" s="43"/>
      <c r="S25" s="43"/>
      <c r="T25" s="43"/>
      <c r="U25" s="43"/>
      <c r="V25" s="43">
        <v>325.7</v>
      </c>
      <c r="W25" s="43"/>
      <c r="X25" s="43"/>
      <c r="Y25" s="43"/>
      <c r="Z25" s="43"/>
      <c r="AA25" s="43">
        <v>327.5</v>
      </c>
      <c r="AB25" s="43"/>
      <c r="AC25" s="43"/>
      <c r="AD25" s="43"/>
      <c r="AE25" s="43"/>
    </row>
    <row r="26" spans="2:62">
      <c r="B26" s="72" t="s">
        <v>81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8" t="s">
        <v>5</v>
      </c>
      <c r="O26" s="28"/>
      <c r="P26" s="28"/>
      <c r="Q26" s="62">
        <v>2</v>
      </c>
      <c r="R26" s="62"/>
      <c r="S26" s="62"/>
      <c r="T26" s="62"/>
      <c r="U26" s="62"/>
      <c r="V26" s="62">
        <v>2</v>
      </c>
      <c r="W26" s="62"/>
      <c r="X26" s="62"/>
      <c r="Y26" s="62"/>
      <c r="Z26" s="62"/>
      <c r="AA26" s="62">
        <v>2</v>
      </c>
      <c r="AB26" s="62"/>
      <c r="AC26" s="62"/>
      <c r="AD26" s="62"/>
      <c r="AE26" s="62"/>
      <c r="AH26" s="2">
        <f>+COUNT(AN17:AN24)</f>
        <v>5</v>
      </c>
    </row>
    <row r="28" spans="2:62" ht="14.4">
      <c r="B28" s="73" t="s">
        <v>82</v>
      </c>
      <c r="C28" s="41"/>
      <c r="D28" s="74"/>
      <c r="E28" s="74"/>
      <c r="F28" s="74"/>
      <c r="G28" s="75" t="s">
        <v>83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2:62"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2" spans="2:62" ht="15" thickBot="1">
      <c r="H32" s="3"/>
      <c r="I32" s="3"/>
      <c r="J32" s="3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2:62" ht="14.4">
      <c r="B33" s="56" t="s">
        <v>52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2:62">
      <c r="B34" s="59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28" t="s">
        <v>56</v>
      </c>
      <c r="O34" s="28"/>
      <c r="P34" s="28"/>
      <c r="Q34" s="69">
        <f t="shared" ref="Q34:Q39" si="0">+_xlfn.NUMBERVALUE(Q17)</f>
        <v>201.66</v>
      </c>
      <c r="R34" s="69"/>
      <c r="S34" s="69"/>
      <c r="T34" s="69"/>
      <c r="U34" s="69"/>
      <c r="V34" s="69">
        <f t="shared" ref="V34:V39" si="1">+_xlfn.NUMBERVALUE(V17)</f>
        <v>202.32</v>
      </c>
      <c r="W34" s="69"/>
      <c r="X34" s="69"/>
      <c r="Y34" s="69"/>
      <c r="Z34" s="69"/>
      <c r="AA34" s="69">
        <f t="shared" ref="AA34:AA39" si="2">+_xlfn.NUMBERVALUE(AA17)</f>
        <v>201.78</v>
      </c>
      <c r="AB34" s="69"/>
      <c r="AC34" s="69"/>
      <c r="AD34" s="69"/>
      <c r="AE34" s="69"/>
    </row>
    <row r="35" spans="2:6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5"/>
      <c r="N35" s="28" t="s">
        <v>56</v>
      </c>
      <c r="O35" s="28"/>
      <c r="P35" s="28"/>
      <c r="Q35" s="69">
        <f t="shared" si="0"/>
        <v>202.48</v>
      </c>
      <c r="R35" s="69"/>
      <c r="S35" s="69"/>
      <c r="T35" s="69"/>
      <c r="U35" s="69"/>
      <c r="V35" s="69">
        <f t="shared" si="1"/>
        <v>201.44</v>
      </c>
      <c r="W35" s="69"/>
      <c r="X35" s="69"/>
      <c r="Y35" s="69"/>
      <c r="Z35" s="69"/>
      <c r="AA35" s="69">
        <f t="shared" si="2"/>
        <v>202.66</v>
      </c>
      <c r="AB35" s="69"/>
      <c r="AC35" s="69"/>
      <c r="AD35" s="69"/>
      <c r="AE35" s="69"/>
    </row>
    <row r="36" spans="2:62"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28" t="s">
        <v>56</v>
      </c>
      <c r="O36" s="28"/>
      <c r="P36" s="28"/>
      <c r="Q36" s="69">
        <f t="shared" si="0"/>
        <v>201.32</v>
      </c>
      <c r="R36" s="69"/>
      <c r="S36" s="69"/>
      <c r="T36" s="69"/>
      <c r="U36" s="69"/>
      <c r="V36" s="69">
        <f t="shared" si="1"/>
        <v>202.32</v>
      </c>
      <c r="W36" s="69"/>
      <c r="X36" s="69"/>
      <c r="Y36" s="69"/>
      <c r="Z36" s="69"/>
      <c r="AA36" s="69">
        <f t="shared" si="2"/>
        <v>201.78</v>
      </c>
      <c r="AB36" s="69"/>
      <c r="AC36" s="69"/>
      <c r="AD36" s="69"/>
      <c r="AE36" s="69"/>
    </row>
    <row r="37" spans="2:62">
      <c r="B37" s="59" t="s">
        <v>63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28" t="s">
        <v>56</v>
      </c>
      <c r="O37" s="28"/>
      <c r="P37" s="28"/>
      <c r="Q37" s="69">
        <f t="shared" si="0"/>
        <v>101.46</v>
      </c>
      <c r="R37" s="69"/>
      <c r="S37" s="69"/>
      <c r="T37" s="69"/>
      <c r="U37" s="69"/>
      <c r="V37" s="69">
        <f t="shared" si="1"/>
        <v>102.64</v>
      </c>
      <c r="W37" s="69"/>
      <c r="X37" s="69"/>
      <c r="Y37" s="69"/>
      <c r="Z37" s="69"/>
      <c r="AA37" s="69">
        <f t="shared" si="2"/>
        <v>101.42</v>
      </c>
      <c r="AB37" s="69"/>
      <c r="AC37" s="69"/>
      <c r="AD37" s="69"/>
      <c r="AE37" s="69"/>
    </row>
    <row r="38" spans="2:62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  <c r="N38" s="28" t="s">
        <v>56</v>
      </c>
      <c r="O38" s="28"/>
      <c r="P38" s="28"/>
      <c r="Q38" s="69">
        <f t="shared" si="0"/>
        <v>102.68</v>
      </c>
      <c r="R38" s="69"/>
      <c r="S38" s="69"/>
      <c r="T38" s="69"/>
      <c r="U38" s="69"/>
      <c r="V38" s="69">
        <f t="shared" si="1"/>
        <v>101.56</v>
      </c>
      <c r="W38" s="69"/>
      <c r="X38" s="69"/>
      <c r="Y38" s="69"/>
      <c r="Z38" s="69"/>
      <c r="AA38" s="69">
        <f t="shared" si="2"/>
        <v>102.36</v>
      </c>
      <c r="AB38" s="69"/>
      <c r="AC38" s="69"/>
      <c r="AD38" s="69"/>
      <c r="AE38" s="69"/>
    </row>
    <row r="39" spans="2:62">
      <c r="B39" s="70" t="s">
        <v>69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28" t="s">
        <v>70</v>
      </c>
      <c r="O39" s="28"/>
      <c r="P39" s="28"/>
      <c r="Q39" s="69">
        <f t="shared" si="0"/>
        <v>3465</v>
      </c>
      <c r="R39" s="69"/>
      <c r="S39" s="69"/>
      <c r="T39" s="69"/>
      <c r="U39" s="69"/>
      <c r="V39" s="69">
        <f t="shared" si="1"/>
        <v>3564</v>
      </c>
      <c r="W39" s="69"/>
      <c r="X39" s="69"/>
      <c r="Y39" s="69"/>
      <c r="Z39" s="69"/>
      <c r="AA39" s="69">
        <f t="shared" si="2"/>
        <v>3653</v>
      </c>
      <c r="AB39" s="69"/>
      <c r="AC39" s="69"/>
      <c r="AD39" s="69"/>
      <c r="AE39" s="69"/>
    </row>
    <row r="40" spans="2:62" ht="14.4" thickBot="1"/>
    <row r="41" spans="2:62">
      <c r="B41" s="56" t="s">
        <v>76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8"/>
    </row>
    <row r="42" spans="2:62">
      <c r="B42" s="71" t="s">
        <v>79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8" t="s">
        <v>80</v>
      </c>
      <c r="O42" s="28"/>
      <c r="P42" s="28"/>
      <c r="Q42" s="69">
        <f>+_xlfn.NUMBERVALUE(Q25)</f>
        <v>351.8</v>
      </c>
      <c r="R42" s="69"/>
      <c r="S42" s="69"/>
      <c r="T42" s="69"/>
      <c r="U42" s="69"/>
      <c r="V42" s="69">
        <f>+_xlfn.NUMBERVALUE(V25)</f>
        <v>325.7</v>
      </c>
      <c r="W42" s="69"/>
      <c r="X42" s="69"/>
      <c r="Y42" s="69"/>
      <c r="Z42" s="69"/>
      <c r="AA42" s="69">
        <f>+_xlfn.NUMBERVALUE(AA25)</f>
        <v>327.5</v>
      </c>
      <c r="AB42" s="69"/>
      <c r="AC42" s="69"/>
      <c r="AD42" s="69"/>
      <c r="AE42" s="69"/>
      <c r="AQ42" s="2" t="s">
        <v>84</v>
      </c>
    </row>
    <row r="43" spans="2:62">
      <c r="B43" s="72" t="s">
        <v>81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28" t="s">
        <v>5</v>
      </c>
      <c r="O43" s="28"/>
      <c r="P43" s="28"/>
      <c r="Q43" s="69">
        <f>+_xlfn.NUMBERVALUE(Q26)</f>
        <v>2</v>
      </c>
      <c r="R43" s="69"/>
      <c r="S43" s="69"/>
      <c r="T43" s="69"/>
      <c r="U43" s="69"/>
      <c r="V43" s="69">
        <f>+_xlfn.NUMBERVALUE(V26)</f>
        <v>2</v>
      </c>
      <c r="W43" s="69"/>
      <c r="X43" s="69"/>
      <c r="Y43" s="69"/>
      <c r="Z43" s="69"/>
      <c r="AA43" s="69">
        <f>+_xlfn.NUMBERVALUE(AA26)</f>
        <v>2</v>
      </c>
      <c r="AB43" s="69"/>
      <c r="AC43" s="69"/>
      <c r="AD43" s="69"/>
      <c r="AE43" s="69"/>
      <c r="AQ43" s="77">
        <v>0.5</v>
      </c>
    </row>
    <row r="44" spans="2:62">
      <c r="AQ44" s="77">
        <v>1</v>
      </c>
      <c r="AR44" s="77">
        <v>0.87</v>
      </c>
    </row>
    <row r="45" spans="2:62">
      <c r="B45" s="78" t="s">
        <v>85</v>
      </c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Q45" s="77">
        <v>1.25</v>
      </c>
      <c r="AR45" s="77">
        <v>0.93</v>
      </c>
    </row>
    <row r="46" spans="2:62">
      <c r="AQ46" s="77">
        <v>1.5</v>
      </c>
      <c r="AR46" s="77">
        <v>0.96</v>
      </c>
    </row>
    <row r="47" spans="2:62">
      <c r="AQ47" s="77">
        <v>1.75</v>
      </c>
      <c r="AR47" s="77">
        <v>0.98</v>
      </c>
    </row>
    <row r="48" spans="2:62">
      <c r="AQ48" s="77">
        <v>2</v>
      </c>
      <c r="AR48" s="77">
        <v>1</v>
      </c>
    </row>
    <row r="49" spans="1:53">
      <c r="AQ49" s="77">
        <v>3</v>
      </c>
      <c r="AR49" s="77"/>
    </row>
    <row r="57" spans="1:53" ht="12" customHeight="1">
      <c r="A57" s="81" t="s">
        <v>86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53" ht="17.100000000000001" customHeight="1">
      <c r="A58" s="82" t="s">
        <v>87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T58" s="41"/>
      <c r="AU58" s="41"/>
      <c r="AV58" s="41"/>
      <c r="AW58" s="41"/>
      <c r="AX58" s="41"/>
      <c r="AY58" s="41"/>
      <c r="AZ58" s="41"/>
      <c r="BA58" s="41"/>
    </row>
    <row r="59" spans="1:53" ht="17.100000000000001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T59" s="41"/>
      <c r="AU59" s="41"/>
      <c r="AV59" s="41"/>
      <c r="AW59" s="41"/>
      <c r="AX59" s="41"/>
      <c r="AY59" s="41"/>
      <c r="AZ59" s="41"/>
      <c r="BA59" s="41"/>
    </row>
    <row r="60" spans="1:53" ht="17.100000000000001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T60" s="41"/>
      <c r="AU60" s="41"/>
      <c r="AV60" s="41"/>
      <c r="AW60" s="41"/>
      <c r="AX60" s="41"/>
      <c r="AY60" s="41"/>
      <c r="AZ60" s="41"/>
      <c r="BA60" s="41"/>
    </row>
    <row r="61" spans="1:53" ht="17.100000000000001" customHeight="1">
      <c r="A61" s="82" t="s">
        <v>88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T61" s="41"/>
      <c r="AU61" s="41"/>
      <c r="AV61" s="41"/>
      <c r="AW61" s="41"/>
      <c r="AX61" s="41"/>
      <c r="AY61" s="41"/>
      <c r="AZ61" s="41"/>
      <c r="BA61" s="41"/>
    </row>
    <row r="62" spans="1:53" ht="15" customHeight="1">
      <c r="A62" s="83" t="s">
        <v>89</v>
      </c>
      <c r="B62" s="84"/>
      <c r="C62" s="84"/>
      <c r="D62" s="85" t="s">
        <v>90</v>
      </c>
      <c r="E62" s="86"/>
      <c r="F62" s="86"/>
      <c r="G62" s="86"/>
      <c r="H62" s="87"/>
      <c r="I62" s="88" t="s">
        <v>91</v>
      </c>
      <c r="J62" s="89"/>
      <c r="K62" s="89"/>
      <c r="L62" s="89"/>
      <c r="M62" s="90" t="s">
        <v>92</v>
      </c>
      <c r="N62" s="90"/>
      <c r="O62" s="90"/>
      <c r="P62" s="90"/>
      <c r="Q62" s="88" t="s">
        <v>93</v>
      </c>
      <c r="R62" s="89"/>
      <c r="S62" s="89"/>
      <c r="T62" s="89"/>
      <c r="U62" s="91">
        <v>44534</v>
      </c>
      <c r="V62" s="91"/>
      <c r="W62" s="91"/>
      <c r="X62" s="91"/>
      <c r="Y62" s="91"/>
      <c r="Z62" s="88" t="s">
        <v>94</v>
      </c>
      <c r="AA62" s="89"/>
      <c r="AB62" s="89"/>
      <c r="AC62" s="92" t="s">
        <v>95</v>
      </c>
      <c r="AD62" s="92"/>
      <c r="AE62" s="92"/>
      <c r="AF62" s="85"/>
      <c r="AT62" s="41"/>
      <c r="AU62" s="41"/>
      <c r="AV62" s="41"/>
      <c r="AW62" s="41"/>
      <c r="AX62" s="41"/>
      <c r="AY62" s="41"/>
      <c r="AZ62" s="41"/>
      <c r="BA62" s="41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2.6" customHeight="1">
      <c r="A64" s="93" t="s">
        <v>4</v>
      </c>
      <c r="B64" s="94"/>
      <c r="C64" s="94"/>
      <c r="D64" s="95" t="str">
        <f ca="1">+D3</f>
        <v>ID-0072608-2026</v>
      </c>
      <c r="E64" s="96"/>
      <c r="F64" s="96"/>
      <c r="G64" s="96"/>
      <c r="H64" s="96"/>
      <c r="I64" s="97" t="s">
        <v>5</v>
      </c>
      <c r="J64" s="98">
        <f>+J3</f>
        <v>1</v>
      </c>
      <c r="K64" s="95" t="s">
        <v>6</v>
      </c>
      <c r="L64" s="96"/>
      <c r="M64" s="96"/>
      <c r="N64" s="96"/>
      <c r="O64" s="96"/>
      <c r="P64" s="99"/>
      <c r="Q64" s="96" t="str">
        <f>+Q3</f>
        <v>R-5581-1</v>
      </c>
      <c r="R64" s="96"/>
      <c r="S64" s="96"/>
      <c r="T64" s="96"/>
      <c r="U64" s="99"/>
      <c r="V64" s="95" t="s">
        <v>8</v>
      </c>
      <c r="W64" s="96"/>
      <c r="X64" s="96"/>
      <c r="Y64" s="96"/>
      <c r="Z64" s="96"/>
      <c r="AA64" s="99"/>
      <c r="AB64" s="100" t="str">
        <f>+AB3</f>
        <v>1</v>
      </c>
      <c r="AC64" s="101"/>
      <c r="AD64" s="101"/>
      <c r="AE64" s="101"/>
      <c r="AF64" s="10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69" ht="12.6" customHeight="1">
      <c r="A65" s="101" t="s">
        <v>13</v>
      </c>
      <c r="B65" s="101"/>
      <c r="C65" s="101"/>
      <c r="D65" s="102"/>
      <c r="E65" s="102"/>
      <c r="F65" s="102"/>
      <c r="G65" s="103">
        <f>+G4</f>
        <v>46090</v>
      </c>
      <c r="H65" s="103"/>
      <c r="I65" s="103"/>
      <c r="J65" s="103"/>
      <c r="K65" s="95" t="s">
        <v>14</v>
      </c>
      <c r="L65" s="96"/>
      <c r="M65" s="96"/>
      <c r="N65" s="96"/>
      <c r="O65" s="96"/>
      <c r="P65" s="99"/>
      <c r="Q65" s="104">
        <f>+Q4</f>
        <v>46108</v>
      </c>
      <c r="R65" s="104"/>
      <c r="S65" s="104"/>
      <c r="T65" s="104"/>
      <c r="U65" s="104"/>
      <c r="V65" s="95" t="s">
        <v>15</v>
      </c>
      <c r="W65" s="96"/>
      <c r="X65" s="96"/>
      <c r="Y65" s="96"/>
      <c r="Z65" s="96"/>
      <c r="AA65" s="99"/>
      <c r="AB65" s="105">
        <f>+AB4</f>
        <v>46116</v>
      </c>
      <c r="AC65" s="105"/>
      <c r="AD65" s="105"/>
      <c r="AE65" s="105"/>
      <c r="AF65" s="105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69" ht="12.6" customHeight="1">
      <c r="A66" s="106" t="s">
        <v>96</v>
      </c>
      <c r="B66" s="106"/>
      <c r="C66" s="106"/>
      <c r="D66" s="106"/>
      <c r="E66" s="106"/>
      <c r="F66" s="106"/>
      <c r="G66" s="107" t="str">
        <f>UPPER(G5)</f>
        <v>FABILU S.A.S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69" ht="12.6" customHeight="1">
      <c r="A67" s="108" t="s">
        <v>97</v>
      </c>
      <c r="B67" s="108"/>
      <c r="C67" s="108"/>
      <c r="D67" s="108"/>
      <c r="E67" s="108"/>
      <c r="F67" s="108"/>
      <c r="G67" s="109" t="str">
        <f>UPPER(G6)</f>
        <v>CR 78 # 7 B-33</v>
      </c>
      <c r="H67" s="109"/>
      <c r="I67" s="109"/>
      <c r="J67" s="109"/>
      <c r="K67" s="109"/>
      <c r="L67" s="109"/>
      <c r="M67" s="109"/>
      <c r="N67" s="109"/>
      <c r="O67" s="110" t="s">
        <v>98</v>
      </c>
      <c r="P67" s="110"/>
      <c r="Q67" s="110"/>
      <c r="R67" s="109" t="str">
        <f>UPPER(R6)</f>
        <v>BOGOTÁ</v>
      </c>
      <c r="S67" s="109"/>
      <c r="T67" s="109"/>
      <c r="U67" s="110" t="s">
        <v>99</v>
      </c>
      <c r="V67" s="110"/>
      <c r="W67" s="110"/>
      <c r="X67" s="109" t="str">
        <f>UPPER(X6)</f>
        <v>BOGOTÁ</v>
      </c>
      <c r="Y67" s="109"/>
      <c r="Z67" s="109"/>
      <c r="AA67" s="110" t="s">
        <v>100</v>
      </c>
      <c r="AB67" s="110"/>
      <c r="AC67" s="110"/>
      <c r="AD67" s="109" t="str">
        <f>UPPER(AD6)</f>
        <v>COLOMBIA</v>
      </c>
      <c r="AE67" s="109"/>
      <c r="AF67" s="109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69" ht="50.1" customHeight="1">
      <c r="A68" s="108" t="s">
        <v>33</v>
      </c>
      <c r="B68" s="108"/>
      <c r="C68" s="108"/>
      <c r="D68" s="108"/>
      <c r="E68" s="108"/>
      <c r="F68" s="108"/>
      <c r="G68" s="109" t="str">
        <f>UPPER(G7)</f>
        <v>OB-003095</v>
      </c>
      <c r="H68" s="109"/>
      <c r="I68" s="109"/>
      <c r="J68" s="109"/>
      <c r="K68" s="110" t="s">
        <v>101</v>
      </c>
      <c r="L68" s="110"/>
      <c r="M68" s="110"/>
      <c r="N68" s="111" t="str">
        <f>UPPER(N7)</f>
        <v>CLÍNICA AVENIDA LAS AMÉRICAS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69" ht="12.6" customHeight="1">
      <c r="A69" s="108" t="s">
        <v>102</v>
      </c>
      <c r="B69" s="108"/>
      <c r="C69" s="108"/>
      <c r="D69" s="108"/>
      <c r="E69" s="108"/>
      <c r="F69" s="108"/>
      <c r="G69" s="109" t="str">
        <f>UPPER(G8)</f>
        <v>NO APLICA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69" ht="3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</row>
    <row r="71" spans="1:69" ht="12.6" customHeight="1">
      <c r="A71" s="79"/>
      <c r="B71" s="112" t="s">
        <v>103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4"/>
      <c r="AF71" s="79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</row>
    <row r="72" spans="1:69" ht="3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</row>
    <row r="73" spans="1:69" ht="19.2" customHeight="1">
      <c r="A73" s="79"/>
      <c r="B73" s="115" t="s">
        <v>104</v>
      </c>
      <c r="C73" s="116"/>
      <c r="D73" s="116"/>
      <c r="E73" s="116"/>
      <c r="F73" s="104">
        <f>+F10</f>
        <v>46080</v>
      </c>
      <c r="G73" s="104"/>
      <c r="H73" s="104"/>
      <c r="I73"/>
      <c r="J73" s="111" t="s">
        <v>105</v>
      </c>
      <c r="K73" s="111"/>
      <c r="L73" s="111"/>
      <c r="M73" s="111"/>
      <c r="N73" s="111"/>
      <c r="O73" s="117">
        <f>+O10</f>
        <v>27.58</v>
      </c>
      <c r="P73" s="117"/>
      <c r="Q73"/>
      <c r="R73" s="111" t="s">
        <v>106</v>
      </c>
      <c r="S73" s="111"/>
      <c r="T73" s="111"/>
      <c r="U73" s="111"/>
      <c r="V73" s="111"/>
      <c r="W73" s="118">
        <f>O73*145.038</f>
        <v>4000.14804</v>
      </c>
      <c r="X73" s="118"/>
      <c r="Y73"/>
      <c r="Z73" s="111" t="s">
        <v>107</v>
      </c>
      <c r="AA73" s="111"/>
      <c r="AB73" s="111"/>
      <c r="AC73" s="119">
        <f>Q65-F73</f>
        <v>28</v>
      </c>
      <c r="AD73" s="120"/>
      <c r="AE73" s="121"/>
      <c r="AF73" s="79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</row>
    <row r="74" spans="1:69" ht="3" customHeight="1">
      <c r="A74" s="79"/>
      <c r="B74" s="122"/>
      <c r="C74" s="122"/>
      <c r="D74" s="122"/>
      <c r="E74" s="122"/>
      <c r="F74" s="122"/>
      <c r="G74" s="122"/>
      <c r="H74" s="123"/>
      <c r="I74" s="123"/>
      <c r="J74" s="123"/>
      <c r="K74"/>
      <c r="L74" s="123"/>
      <c r="M74" s="123"/>
      <c r="N74" s="123"/>
      <c r="O74" s="123"/>
      <c r="P74" s="123"/>
      <c r="Q74" s="123"/>
      <c r="R74" s="124"/>
      <c r="S74" s="124"/>
      <c r="T74"/>
      <c r="U74"/>
      <c r="V74"/>
      <c r="W74"/>
      <c r="X74"/>
      <c r="Y74"/>
      <c r="Z74"/>
      <c r="AA74"/>
      <c r="AB74"/>
      <c r="AC74"/>
      <c r="AD74"/>
      <c r="AE74"/>
      <c r="AF74" s="79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</row>
    <row r="75" spans="1:69" ht="18" customHeight="1">
      <c r="A75" s="79"/>
      <c r="B75" s="115" t="s">
        <v>44</v>
      </c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25"/>
      <c r="N75" s="101" t="s">
        <v>45</v>
      </c>
      <c r="O75" s="101"/>
      <c r="P75" s="101"/>
      <c r="Q75" s="101" t="str">
        <f>UPPER(Q12)</f>
        <v>PL 7 - M138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2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</row>
    <row r="76" spans="1:69" ht="59.4" customHeight="1">
      <c r="A76" s="79"/>
      <c r="B76" s="127" t="s">
        <v>108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9"/>
      <c r="N76" s="111" t="str">
        <f>+Q75</f>
        <v>PL 7 - M138</v>
      </c>
      <c r="O76" s="111"/>
      <c r="P76" s="111"/>
      <c r="Q76" s="111" t="str">
        <f>UPPER(Q13)</f>
        <v>NO ESPECIFICA</v>
      </c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79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</row>
    <row r="77" spans="1:69" ht="14.4">
      <c r="A77" s="79"/>
      <c r="B77" s="115" t="s">
        <v>51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25"/>
      <c r="N77" s="101" t="s">
        <v>5</v>
      </c>
      <c r="O77" s="101"/>
      <c r="P77" s="101"/>
      <c r="Q77" s="130" t="str">
        <f>+UPPER(Q14)</f>
        <v>CILINDRO DE CONCRETO</v>
      </c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79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</row>
    <row r="78" spans="1:69" ht="3" customHeight="1">
      <c r="A78" s="7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131"/>
      <c r="Y78" s="131"/>
      <c r="Z78" s="131"/>
      <c r="AA78" s="131"/>
      <c r="AB78" s="131"/>
      <c r="AC78" s="131"/>
      <c r="AD78" s="131"/>
      <c r="AE78" s="131"/>
      <c r="AF78" s="79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</row>
    <row r="79" spans="1:69" ht="15.6" customHeight="1">
      <c r="A79" s="79"/>
      <c r="B79" s="132" t="s">
        <v>52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79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</row>
    <row r="80" spans="1:69" ht="15.6" customHeight="1">
      <c r="A80" s="79"/>
      <c r="B80" s="133" t="s">
        <v>109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5"/>
      <c r="N80" s="102" t="s">
        <v>5</v>
      </c>
      <c r="O80" s="102"/>
      <c r="P80" s="102"/>
      <c r="Q80" s="136">
        <v>1</v>
      </c>
      <c r="R80" s="136"/>
      <c r="S80" s="136"/>
      <c r="T80" s="136"/>
      <c r="U80" s="136"/>
      <c r="V80" s="136">
        <v>2</v>
      </c>
      <c r="W80" s="136"/>
      <c r="X80" s="136"/>
      <c r="Y80" s="136"/>
      <c r="Z80" s="136"/>
      <c r="AA80" s="136">
        <v>3</v>
      </c>
      <c r="AB80" s="136"/>
      <c r="AC80" s="136"/>
      <c r="AD80" s="136"/>
      <c r="AE80" s="136"/>
      <c r="AF80" s="79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</row>
    <row r="81" spans="1:69" ht="10.95" customHeight="1">
      <c r="A81" s="79"/>
      <c r="B81" s="137" t="s">
        <v>55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01" t="s">
        <v>56</v>
      </c>
      <c r="O81" s="101"/>
      <c r="P81" s="101"/>
      <c r="Q81" s="118">
        <f>+IF(Q17=0,"",ROUND(AVERAGE(Q34:U36),0))</f>
        <v>202</v>
      </c>
      <c r="R81" s="118"/>
      <c r="S81" s="118"/>
      <c r="T81" s="118"/>
      <c r="U81" s="118"/>
      <c r="V81" s="118">
        <f>+IF(V17=0,"",ROUND(AVERAGE(V34:Z36),0))</f>
        <v>202</v>
      </c>
      <c r="W81" s="118"/>
      <c r="X81" s="118"/>
      <c r="Y81" s="118"/>
      <c r="Z81" s="118"/>
      <c r="AA81" s="118">
        <f>+IF(AA17=0,"",ROUND(AVERAGE(AA34:AE36),0))</f>
        <v>202</v>
      </c>
      <c r="AB81" s="118"/>
      <c r="AC81" s="118"/>
      <c r="AD81" s="118"/>
      <c r="AE81" s="118"/>
      <c r="AF81" s="79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</row>
    <row r="82" spans="1:69" ht="10.95" customHeight="1">
      <c r="A82" s="79"/>
      <c r="B82" s="137" t="s">
        <v>63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1" t="s">
        <v>56</v>
      </c>
      <c r="O82" s="101"/>
      <c r="P82" s="101"/>
      <c r="Q82" s="138">
        <f>+IF(Q20=0,"",ROUND(AVERAGE(Q37:U38),2))</f>
        <v>102.07</v>
      </c>
      <c r="R82" s="138"/>
      <c r="S82" s="138"/>
      <c r="T82" s="138"/>
      <c r="U82" s="138"/>
      <c r="V82" s="138">
        <f>+IF(V20=0,"",ROUND(AVERAGE(V37:Z38),2))</f>
        <v>102.1</v>
      </c>
      <c r="W82" s="138"/>
      <c r="X82" s="138"/>
      <c r="Y82" s="138"/>
      <c r="Z82" s="138"/>
      <c r="AA82" s="138">
        <f>+IF(AA20=0,"",ROUND(AVERAGE(AA37:AE38),2))</f>
        <v>101.89</v>
      </c>
      <c r="AB82" s="138"/>
      <c r="AC82" s="138"/>
      <c r="AD82" s="138"/>
      <c r="AE82" s="138"/>
      <c r="AF82" s="79"/>
      <c r="AJ82" s="41"/>
      <c r="AK82" s="41"/>
      <c r="AL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</row>
    <row r="83" spans="1:69" ht="10.95" customHeight="1">
      <c r="A83" s="79"/>
      <c r="B83" s="137" t="s">
        <v>69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01" t="s">
        <v>70</v>
      </c>
      <c r="O83" s="101"/>
      <c r="P83" s="101"/>
      <c r="Q83" s="118">
        <f>+IF(Q22=0,"",Q22)</f>
        <v>3465</v>
      </c>
      <c r="R83" s="118"/>
      <c r="S83" s="118"/>
      <c r="T83" s="118"/>
      <c r="U83" s="118"/>
      <c r="V83" s="118">
        <f>+IF(V22=0,"",V22)</f>
        <v>3564</v>
      </c>
      <c r="W83" s="118"/>
      <c r="X83" s="118"/>
      <c r="Y83" s="118"/>
      <c r="Z83" s="118"/>
      <c r="AA83" s="118">
        <f>+IF(AA22=0,"",AA22)</f>
        <v>3653</v>
      </c>
      <c r="AB83" s="118"/>
      <c r="AC83" s="118"/>
      <c r="AD83" s="118"/>
      <c r="AE83" s="118"/>
      <c r="AF83" s="79"/>
      <c r="AL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</row>
    <row r="84" spans="1:69" ht="10.95" customHeight="1">
      <c r="A84" s="79"/>
      <c r="B84" s="137" t="s">
        <v>110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01" t="s">
        <v>5</v>
      </c>
      <c r="O84" s="101"/>
      <c r="P84" s="101"/>
      <c r="Q84" s="117">
        <f>IF(Q81="","",Q81/Q82)</f>
        <v>1.9790339962770649</v>
      </c>
      <c r="R84" s="117"/>
      <c r="S84" s="117"/>
      <c r="T84" s="117"/>
      <c r="U84" s="117"/>
      <c r="V84" s="117">
        <f>IF(V81="","",V81/V82)</f>
        <v>1.9784524975514204</v>
      </c>
      <c r="W84" s="117"/>
      <c r="X84" s="117"/>
      <c r="Y84" s="117"/>
      <c r="Z84" s="117"/>
      <c r="AA84" s="117">
        <f>IF(AA81="","",AA81/AA82)</f>
        <v>1.9825301796054569</v>
      </c>
      <c r="AB84" s="117"/>
      <c r="AC84" s="117"/>
      <c r="AD84" s="117"/>
      <c r="AE84" s="117"/>
      <c r="AF84" s="79"/>
      <c r="AL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</row>
    <row r="85" spans="1:69" ht="12.6" customHeight="1">
      <c r="A85" s="79"/>
      <c r="B85" s="137" t="s">
        <v>111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01" t="s">
        <v>112</v>
      </c>
      <c r="O85" s="101"/>
      <c r="P85" s="101"/>
      <c r="Q85" s="138">
        <f>IF(Q82="","",(PI()*Q82*Q82)/4)</f>
        <v>8182.5018262113663</v>
      </c>
      <c r="R85" s="138"/>
      <c r="S85" s="138"/>
      <c r="T85" s="138"/>
      <c r="U85" s="138"/>
      <c r="V85" s="138">
        <f>IF(V82="","",(PI()*V82*V82)/4)</f>
        <v>8187.312468501993</v>
      </c>
      <c r="W85" s="138"/>
      <c r="X85" s="138"/>
      <c r="Y85" s="138"/>
      <c r="Z85" s="138"/>
      <c r="AA85" s="117">
        <f>IF(AA82="","",(PI()*AA82*AA82)/4)</f>
        <v>8153.667660518191</v>
      </c>
      <c r="AB85" s="117"/>
      <c r="AC85" s="117"/>
      <c r="AD85" s="117"/>
      <c r="AE85" s="117"/>
      <c r="AF85" s="79"/>
      <c r="AL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</row>
    <row r="86" spans="1:69" ht="12.6" customHeight="1">
      <c r="A86" s="79"/>
      <c r="B86" s="137" t="s">
        <v>113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01" t="s">
        <v>114</v>
      </c>
      <c r="O86" s="101"/>
      <c r="P86" s="101"/>
      <c r="Q86" s="118">
        <f>IF(Q83="","",((Q83/((Q85*Q81)))*1000)*1000)</f>
        <v>2096.3594889262604</v>
      </c>
      <c r="R86" s="118"/>
      <c r="S86" s="118"/>
      <c r="T86" s="118"/>
      <c r="U86" s="118"/>
      <c r="V86" s="118">
        <f>IF(V83="","",((V83/((V85*V81)))*1000)*1000)</f>
        <v>2154.9885172104382</v>
      </c>
      <c r="W86" s="118"/>
      <c r="X86" s="118"/>
      <c r="Y86" s="118"/>
      <c r="Z86" s="118"/>
      <c r="AA86" s="118">
        <f>IF(AA83="","",((AA83/((AA85*AA81)))*1000)*1000)</f>
        <v>2217.9170366985841</v>
      </c>
      <c r="AB86" s="118"/>
      <c r="AC86" s="118"/>
      <c r="AD86" s="118"/>
      <c r="AE86" s="118"/>
      <c r="AF86" s="79"/>
      <c r="AL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</row>
    <row r="87" spans="1:69" ht="3" customHeight="1">
      <c r="A87" s="7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39"/>
      <c r="U87" s="139"/>
      <c r="V87" s="139"/>
      <c r="W87" s="139"/>
      <c r="X87" s="140"/>
      <c r="Y87" s="140"/>
      <c r="Z87" s="140"/>
      <c r="AA87" s="140"/>
      <c r="AB87"/>
      <c r="AC87"/>
      <c r="AD87"/>
      <c r="AE87"/>
      <c r="AF87" s="79"/>
      <c r="AL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</row>
    <row r="88" spans="1:69" ht="12" customHeight="1">
      <c r="A88" s="79"/>
      <c r="B88" s="132" t="s">
        <v>76</v>
      </c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79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</row>
    <row r="89" spans="1:69" ht="12" customHeight="1">
      <c r="A89" s="79"/>
      <c r="B89" s="141" t="s">
        <v>115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02" t="s">
        <v>80</v>
      </c>
      <c r="O89" s="102"/>
      <c r="P89" s="102"/>
      <c r="Q89" s="142">
        <f>IF(Q25=0,"",Q25)</f>
        <v>351.8</v>
      </c>
      <c r="R89" s="142"/>
      <c r="S89" s="142"/>
      <c r="T89" s="142"/>
      <c r="U89" s="142"/>
      <c r="V89" s="142">
        <f>IF(V25=0,"",V25)</f>
        <v>325.7</v>
      </c>
      <c r="W89" s="142"/>
      <c r="X89" s="142"/>
      <c r="Y89" s="142"/>
      <c r="Z89" s="142"/>
      <c r="AA89" s="142">
        <f>IF(AA25=0,"",AA25)</f>
        <v>327.5</v>
      </c>
      <c r="AB89" s="142"/>
      <c r="AC89" s="142"/>
      <c r="AD89" s="142"/>
      <c r="AE89" s="142"/>
      <c r="AF89" s="79"/>
      <c r="AH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</row>
    <row r="90" spans="1:69" ht="12" customHeight="1">
      <c r="A90" s="79"/>
      <c r="B90" s="115" t="s">
        <v>116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25"/>
      <c r="N90" s="101" t="s">
        <v>5</v>
      </c>
      <c r="O90" s="101"/>
      <c r="P90" s="101"/>
      <c r="Q90" s="117">
        <f>+(-0.1067*Q84*Q84*Q84*Q84)+(0.8*Q84*Q84*Q84)-(2.2333*Q84*Q84)+(2.83*Q84)-0.42</f>
        <v>0.99787546814142569</v>
      </c>
      <c r="R90" s="117"/>
      <c r="S90" s="117"/>
      <c r="T90" s="117"/>
      <c r="U90" s="117"/>
      <c r="V90" s="117">
        <f>IF(V84="","",(-0.1067*V84*V84*V84*V84)+(0.8*V84*V84*V84)-(2.2333*V84*V84)+(2.83*V84)-0.42)</f>
        <v>0.9978277383721883</v>
      </c>
      <c r="W90" s="117"/>
      <c r="X90" s="117"/>
      <c r="Y90" s="117"/>
      <c r="Z90" s="117"/>
      <c r="AA90" s="117">
        <f>IF(AA84="","",(-0.1067*AA84*AA84*AA84*AA84)+(0.8*AA84*AA84*AA84)-(2.2333*AA84*AA84)+(2.83*AA84)-0.42)</f>
        <v>0.9981625632882043</v>
      </c>
      <c r="AB90" s="117"/>
      <c r="AC90" s="117"/>
      <c r="AD90" s="117"/>
      <c r="AE90" s="117"/>
      <c r="AF90" s="79"/>
      <c r="AH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</row>
    <row r="91" spans="1:69" ht="12" customHeight="1">
      <c r="A91" s="79"/>
      <c r="B91" s="143" t="s">
        <v>117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5"/>
      <c r="N91" s="101" t="s">
        <v>50</v>
      </c>
      <c r="O91" s="101"/>
      <c r="P91" s="101"/>
      <c r="Q91" s="117">
        <f>IF(Q89="","",(Q89*1000/Q85)*Q90)</f>
        <v>42.902842816070191</v>
      </c>
      <c r="R91" s="117"/>
      <c r="S91" s="117"/>
      <c r="T91" s="117"/>
      <c r="U91" s="117"/>
      <c r="V91" s="117">
        <f>IF(V89="","",(V89*1000/V85)*V90)</f>
        <v>39.694648963029572</v>
      </c>
      <c r="W91" s="117"/>
      <c r="X91" s="117"/>
      <c r="Y91" s="117"/>
      <c r="Z91" s="117"/>
      <c r="AA91" s="117">
        <f>IF(AA89="","",(AA89*1000/AA85)*AA90)</f>
        <v>40.092171166087418</v>
      </c>
      <c r="AB91" s="117"/>
      <c r="AC91" s="117"/>
      <c r="AD91" s="117"/>
      <c r="AE91" s="117"/>
      <c r="AF91" s="79"/>
      <c r="AH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</row>
    <row r="92" spans="1:69" ht="12" customHeight="1">
      <c r="A92" s="79"/>
      <c r="B92" s="143" t="s">
        <v>117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5"/>
      <c r="N92" s="101" t="s">
        <v>49</v>
      </c>
      <c r="O92" s="101"/>
      <c r="P92" s="101"/>
      <c r="Q92" s="117">
        <f>IF(Q91="","",Q91*145.038)</f>
        <v>6222.542516357189</v>
      </c>
      <c r="R92" s="117"/>
      <c r="S92" s="117"/>
      <c r="T92" s="117"/>
      <c r="U92" s="117"/>
      <c r="V92" s="117">
        <f>IF(V91="","",V91*145.038)</f>
        <v>5757.2324962998837</v>
      </c>
      <c r="W92" s="117"/>
      <c r="X92" s="117"/>
      <c r="Y92" s="117"/>
      <c r="Z92" s="117"/>
      <c r="AA92" s="117">
        <f>IF(AA91="","",AA91*145.038)</f>
        <v>5814.8883215869873</v>
      </c>
      <c r="AB92" s="117"/>
      <c r="AC92" s="117"/>
      <c r="AD92" s="117"/>
      <c r="AE92" s="117"/>
      <c r="AF92" s="79"/>
      <c r="AH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</row>
    <row r="93" spans="1:69" ht="12" customHeight="1">
      <c r="A93" s="79"/>
      <c r="B93" s="143" t="s">
        <v>117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5"/>
      <c r="N93" s="101" t="s">
        <v>118</v>
      </c>
      <c r="O93" s="101"/>
      <c r="P93" s="101"/>
      <c r="Q93" s="146">
        <f>IF(Q91="","",(Q91/$O$73)*100)</f>
        <v>155.55780571454022</v>
      </c>
      <c r="R93" s="146"/>
      <c r="S93" s="146"/>
      <c r="T93" s="146"/>
      <c r="U93" s="146"/>
      <c r="V93" s="146">
        <f>IF(V91="","",(V91/$O$73)*100)</f>
        <v>143.92548572527039</v>
      </c>
      <c r="W93" s="146"/>
      <c r="X93" s="146"/>
      <c r="Y93" s="146"/>
      <c r="Z93" s="146"/>
      <c r="AA93" s="146">
        <f>IF(AA91="","",(AA91/$O$73)*100)</f>
        <v>145.36682801336991</v>
      </c>
      <c r="AB93" s="146"/>
      <c r="AC93" s="146"/>
      <c r="AD93" s="146"/>
      <c r="AE93" s="146"/>
      <c r="AF93" s="79"/>
      <c r="AH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</row>
    <row r="94" spans="1:69" ht="11.4" customHeight="1">
      <c r="A94" s="79"/>
      <c r="B94" s="143" t="s">
        <v>81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5"/>
      <c r="N94" s="101" t="s">
        <v>5</v>
      </c>
      <c r="O94" s="101"/>
      <c r="P94" s="101"/>
      <c r="Q94" s="118">
        <f>IF(Q26=0,"",Q26)</f>
        <v>2</v>
      </c>
      <c r="R94" s="118"/>
      <c r="S94" s="118"/>
      <c r="T94" s="118"/>
      <c r="U94" s="118"/>
      <c r="V94" s="118">
        <f>IF(V26=0,"",V26)</f>
        <v>2</v>
      </c>
      <c r="W94" s="118"/>
      <c r="X94" s="118"/>
      <c r="Y94" s="118"/>
      <c r="Z94" s="118"/>
      <c r="AA94" s="118">
        <f>IF(AA26=0,"",AA26)</f>
        <v>2</v>
      </c>
      <c r="AB94" s="118"/>
      <c r="AC94" s="118"/>
      <c r="AD94" s="118"/>
      <c r="AE94" s="118"/>
      <c r="AF94" s="79"/>
      <c r="AP94" s="41"/>
    </row>
    <row r="95" spans="1:69" ht="3" customHeight="1">
      <c r="A95" s="79"/>
      <c r="B95"/>
      <c r="C9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8"/>
      <c r="AA95" s="148"/>
      <c r="AB95" s="148"/>
      <c r="AC95" s="148"/>
      <c r="AD95" s="79"/>
      <c r="AE95" s="79"/>
      <c r="AF95" s="79"/>
    </row>
    <row r="96" spans="1:69" ht="10.199999999999999" customHeight="1">
      <c r="A96" s="79"/>
      <c r="B96" s="132" t="s">
        <v>119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 t="s">
        <v>120</v>
      </c>
      <c r="Y96" s="132"/>
      <c r="Z96" s="132"/>
      <c r="AA96" s="132"/>
      <c r="AB96" s="149">
        <f>AVERAGE(Q91:AE91)</f>
        <v>40.896554315062389</v>
      </c>
      <c r="AC96" s="132"/>
      <c r="AD96" s="132"/>
      <c r="AE96" s="132"/>
      <c r="AF96" s="79"/>
    </row>
    <row r="97" spans="1:36" ht="10.199999999999999" customHeight="1">
      <c r="A97" s="79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 t="s">
        <v>118</v>
      </c>
      <c r="Y97" s="132"/>
      <c r="Z97" s="132"/>
      <c r="AA97" s="132"/>
      <c r="AB97" s="149">
        <f>AVERAGE(Q93:AE93)</f>
        <v>148.28337315106018</v>
      </c>
      <c r="AC97" s="132"/>
      <c r="AD97" s="132"/>
      <c r="AE97" s="132"/>
      <c r="AF97" s="79"/>
    </row>
    <row r="98" spans="1:36" ht="3" customHeight="1">
      <c r="A98" s="79"/>
      <c r="B98"/>
      <c r="C98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8"/>
      <c r="AA98" s="148"/>
      <c r="AB98" s="148"/>
      <c r="AC98" s="148"/>
      <c r="AD98" s="79"/>
      <c r="AE98" s="79"/>
      <c r="AF98" s="79"/>
    </row>
    <row r="99" spans="1:36" ht="15.6" customHeight="1">
      <c r="A99" s="79"/>
      <c r="B99" s="78" t="s">
        <v>82</v>
      </c>
      <c r="C99"/>
      <c r="D99" s="147"/>
      <c r="E99" s="147"/>
      <c r="F99" s="147"/>
      <c r="G99" s="150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79"/>
    </row>
    <row r="100" spans="1:36" ht="15.6" customHeight="1">
      <c r="A100" s="79"/>
      <c r="B100" s="79"/>
      <c r="C100" s="79"/>
      <c r="D100" s="79"/>
      <c r="E100" s="79"/>
      <c r="F100" s="79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79"/>
    </row>
    <row r="101" spans="1:36" ht="7.2" customHeight="1">
      <c r="A101" s="79"/>
      <c r="B101"/>
      <c r="C101"/>
      <c r="D101" s="147"/>
      <c r="E101" s="147"/>
      <c r="F101" s="147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9"/>
    </row>
    <row r="102" spans="1:36" ht="15" customHeight="1">
      <c r="A102" s="79"/>
      <c r="B102" s="152" t="s">
        <v>121</v>
      </c>
      <c r="C102" s="152"/>
      <c r="D102" s="152"/>
      <c r="E102" s="152"/>
      <c r="F102" s="152"/>
      <c r="G102" s="152"/>
      <c r="H102" s="152"/>
      <c r="I102" s="152"/>
      <c r="J102" s="153" t="str">
        <f>+'[2]NTC 673'!AQ33</f>
        <v>Instalaciones laboratorio IDICOL SAS, Calle 70 A # 52 - 27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79"/>
    </row>
    <row r="103" spans="1:36" ht="3" customHeight="1">
      <c r="A103" s="79"/>
      <c r="B103"/>
      <c r="C103"/>
      <c r="D103" s="147"/>
      <c r="E103" s="147"/>
      <c r="F103" s="147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9"/>
    </row>
    <row r="104" spans="1:36" ht="15.6" customHeight="1">
      <c r="A104" s="79"/>
      <c r="B104" s="78" t="s">
        <v>85</v>
      </c>
      <c r="C104" s="79"/>
      <c r="D104" s="79"/>
      <c r="E104" s="79"/>
      <c r="F104" s="79"/>
      <c r="G104" s="153" t="str">
        <f>+IF(G45=0,"",G45)</f>
        <v/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79"/>
    </row>
    <row r="105" spans="1:36" ht="6" customHeight="1">
      <c r="A105" s="79"/>
      <c r="B105" s="78"/>
      <c r="C105" s="79"/>
      <c r="D105" s="79"/>
      <c r="E105" s="79"/>
      <c r="F105" s="7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79"/>
      <c r="AJ105" s="41"/>
    </row>
    <row r="106" spans="1:36" ht="6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J106" s="41"/>
    </row>
    <row r="107" spans="1:36" ht="12" customHeight="1">
      <c r="A107" s="79"/>
      <c r="B107" s="79"/>
      <c r="C107"/>
      <c r="D107"/>
      <c r="E107"/>
      <c r="F107"/>
      <c r="G107"/>
      <c r="H107"/>
      <c r="I107"/>
      <c r="J107"/>
      <c r="K107"/>
      <c r="L107"/>
      <c r="M107" s="79"/>
      <c r="N107" s="79"/>
      <c r="O107" s="79"/>
      <c r="P107" s="79"/>
      <c r="Q107" s="79"/>
      <c r="R107" s="79"/>
      <c r="S107" s="79"/>
      <c r="T107" s="154" t="str">
        <f ca="1">+D64</f>
        <v>ID-0072608-2026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79"/>
    </row>
    <row r="108" spans="1:36" ht="12" customHeight="1">
      <c r="A108" s="79"/>
      <c r="B108"/>
      <c r="C108"/>
      <c r="D108"/>
      <c r="E108"/>
      <c r="F108"/>
      <c r="G108"/>
      <c r="H108"/>
      <c r="I108"/>
      <c r="J108"/>
      <c r="K108"/>
      <c r="L108"/>
      <c r="M108"/>
      <c r="N108" s="79"/>
      <c r="O108" s="79"/>
      <c r="P108" s="79"/>
      <c r="Q108" s="79"/>
      <c r="R108" s="79"/>
      <c r="S108" s="79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79"/>
    </row>
    <row r="109" spans="1:36" ht="12" customHeight="1">
      <c r="A109" s="79"/>
      <c r="B109"/>
      <c r="C109"/>
      <c r="D109"/>
      <c r="E109"/>
      <c r="F109"/>
      <c r="G109"/>
      <c r="H109"/>
      <c r="I109"/>
      <c r="J109"/>
      <c r="K109"/>
      <c r="L109"/>
      <c r="M109"/>
      <c r="N109" s="79"/>
      <c r="O109" s="79"/>
      <c r="P109" s="79"/>
      <c r="Q109" s="79"/>
      <c r="R109" s="79"/>
      <c r="S109" s="79"/>
      <c r="T109" s="156" t="s">
        <v>122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79"/>
    </row>
    <row r="110" spans="1:36" ht="12" customHeight="1">
      <c r="A110" s="79"/>
      <c r="B110"/>
      <c r="C110"/>
      <c r="D110"/>
      <c r="E110"/>
      <c r="F110"/>
      <c r="G110"/>
      <c r="H110"/>
      <c r="I110"/>
      <c r="J110"/>
      <c r="K110"/>
      <c r="L110"/>
      <c r="M110"/>
      <c r="N110" s="79"/>
      <c r="O110" s="79"/>
      <c r="P110" s="79"/>
      <c r="Q110" s="79"/>
      <c r="R110" s="79"/>
      <c r="S110" s="79"/>
      <c r="T110" s="79"/>
      <c r="U110" s="157" t="s">
        <v>123</v>
      </c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79"/>
      <c r="AF110" s="79"/>
    </row>
    <row r="111" spans="1:36" ht="12" customHeight="1">
      <c r="A111" s="79"/>
      <c r="B111"/>
      <c r="C111"/>
      <c r="D111"/>
      <c r="E111"/>
      <c r="F111"/>
      <c r="G111"/>
      <c r="H111"/>
      <c r="I111"/>
      <c r="J111"/>
      <c r="K111"/>
      <c r="L111"/>
      <c r="M111"/>
      <c r="N111" s="79"/>
      <c r="O111" s="79"/>
      <c r="P111" s="79"/>
      <c r="Q111" s="79"/>
      <c r="R111" s="79"/>
      <c r="S111" s="79"/>
      <c r="T111" s="79"/>
      <c r="U111" s="157" t="s">
        <v>124</v>
      </c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79"/>
      <c r="AF111" s="79"/>
    </row>
    <row r="112" spans="1:36" ht="3" customHeight="1">
      <c r="A112" s="79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79"/>
      <c r="AF112" s="79"/>
    </row>
    <row r="113" spans="1:32" ht="10.95" customHeight="1">
      <c r="A113" s="79"/>
      <c r="B113" s="156" t="s">
        <v>125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79"/>
      <c r="AF113" s="79"/>
    </row>
    <row r="114" spans="1:32" ht="3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 spans="1:32" ht="7.5" customHeight="1">
      <c r="A115" s="158" t="s">
        <v>126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7.5" customHeight="1">
      <c r="A116" s="159" t="s">
        <v>127</v>
      </c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 ht="7.5" customHeight="1">
      <c r="A117" s="159" t="s">
        <v>128</v>
      </c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 ht="7.5" customHeight="1">
      <c r="A118" s="160"/>
      <c r="B118" s="158" t="s">
        <v>129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60"/>
      <c r="AF118" s="160"/>
    </row>
    <row r="119" spans="1:32" ht="3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spans="1:32">
      <c r="A120" s="79"/>
      <c r="B120" s="157" t="s">
        <v>130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79"/>
      <c r="AF120" s="79"/>
    </row>
    <row r="121" spans="1:32" ht="12" customHeight="1">
      <c r="A121" s="79"/>
      <c r="B121" s="157" t="str">
        <f>+'[2]NTC 673'!AI34</f>
        <v>IDICOL S.A.S - Calle 70 A No 52 - 27, Bogotá D.C., Colombia / PBX: 7551341 - Cel: 3114853234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79"/>
      <c r="AF121" s="79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65:F65"/>
    <mergeCell ref="G65:J65"/>
    <mergeCell ref="K65:P65"/>
    <mergeCell ref="Q65:U65"/>
    <mergeCell ref="V65:AA65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57:AF57"/>
    <mergeCell ref="A58:R60"/>
    <mergeCell ref="S58:AF61"/>
    <mergeCell ref="A61:R61"/>
    <mergeCell ref="A62:C62"/>
    <mergeCell ref="D62:H62"/>
    <mergeCell ref="I62:L62"/>
    <mergeCell ref="M62:P62"/>
    <mergeCell ref="Q62:T62"/>
    <mergeCell ref="U62:Y62"/>
    <mergeCell ref="B43:M43"/>
    <mergeCell ref="N43:P43"/>
    <mergeCell ref="Q43:U43"/>
    <mergeCell ref="V43:Z43"/>
    <mergeCell ref="AA43:AE43"/>
    <mergeCell ref="G45:AE45"/>
    <mergeCell ref="B41:AE41"/>
    <mergeCell ref="B42:M42"/>
    <mergeCell ref="N42:P42"/>
    <mergeCell ref="Q42:U42"/>
    <mergeCell ref="V42:Z42"/>
    <mergeCell ref="AA42:AE42"/>
    <mergeCell ref="N38:P38"/>
    <mergeCell ref="Q38:U38"/>
    <mergeCell ref="V38:Z38"/>
    <mergeCell ref="AA38:AE38"/>
    <mergeCell ref="B39:M39"/>
    <mergeCell ref="N39:P39"/>
    <mergeCell ref="Q39:U39"/>
    <mergeCell ref="V39:Z39"/>
    <mergeCell ref="AA39:AE39"/>
    <mergeCell ref="AA35:AE35"/>
    <mergeCell ref="N36:P36"/>
    <mergeCell ref="Q36:U36"/>
    <mergeCell ref="V36:Z36"/>
    <mergeCell ref="AA36:AE36"/>
    <mergeCell ref="B37:M38"/>
    <mergeCell ref="N37:P37"/>
    <mergeCell ref="Q37:U37"/>
    <mergeCell ref="V37:Z37"/>
    <mergeCell ref="AA37:AE37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Z6:BB6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I4:AN4"/>
    <mergeCell ref="AO4:AR4"/>
    <mergeCell ref="AS4:AX4"/>
    <mergeCell ref="AY4:BC4"/>
    <mergeCell ref="BD4:BI4"/>
    <mergeCell ref="BJ4:BN4"/>
    <mergeCell ref="AS3:AX3"/>
    <mergeCell ref="AY3:BC3"/>
    <mergeCell ref="BD3:BI3"/>
    <mergeCell ref="BJ3:BN3"/>
    <mergeCell ref="A4:F4"/>
    <mergeCell ref="G4:J4"/>
    <mergeCell ref="K4:P4"/>
    <mergeCell ref="Q4:U4"/>
    <mergeCell ref="V4:AA4"/>
    <mergeCell ref="AB4:AF4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INV410INF</vt:lpstr>
      <vt:lpstr>INV410INF!Área_de_impresión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2026-04-04T16:24:55Z</dcterms:created>
  <dcterms:modified xsi:type="dcterms:W3CDTF">2026-04-04T16:24:55Z</dcterms:modified>
</cp:coreProperties>
</file>