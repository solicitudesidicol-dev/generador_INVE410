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72604-2026\"/>
    </mc:Choice>
  </mc:AlternateContent>
  <xr:revisionPtr revIDLastSave="0" documentId="8_{BD162296-5976-4E19-A7D8-598668559190}" xr6:coauthVersionLast="47" xr6:coauthVersionMax="47" xr10:uidLastSave="{00000000-0000-0000-0000-000000000000}"/>
  <bookViews>
    <workbookView xWindow="-108" yWindow="-108" windowWidth="23256" windowHeight="12456" xr2:uid="{F857D50C-97BA-4641-9D6B-38803649761A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V89" i="1"/>
  <c r="Q89" i="1"/>
  <c r="AA83" i="1"/>
  <c r="V83" i="1"/>
  <c r="Q83" i="1"/>
  <c r="AA81" i="1"/>
  <c r="V81" i="1"/>
  <c r="Q81" i="1"/>
  <c r="Q77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AA82" i="1" s="1"/>
  <c r="V37" i="1"/>
  <c r="V82" i="1" s="1"/>
  <c r="Q37" i="1"/>
  <c r="Q82" i="1" s="1"/>
  <c r="AA36" i="1"/>
  <c r="V36" i="1"/>
  <c r="Q36" i="1"/>
  <c r="AA35" i="1"/>
  <c r="V35" i="1"/>
  <c r="Q35" i="1"/>
  <c r="AA34" i="1"/>
  <c r="V34" i="1"/>
  <c r="Q34" i="1"/>
  <c r="AH26" i="1"/>
  <c r="AL14" i="1"/>
  <c r="Q14" i="1"/>
  <c r="N13" i="1"/>
  <c r="BY2" i="1"/>
  <c r="BY4" i="1" s="1"/>
  <c r="BW2" i="1"/>
  <c r="BW3" i="1" s="1"/>
  <c r="BV2" i="1"/>
  <c r="AA85" i="1" l="1"/>
  <c r="AA84" i="1"/>
  <c r="AA90" i="1" s="1"/>
  <c r="V85" i="1"/>
  <c r="V84" i="1"/>
  <c r="V90" i="1" s="1"/>
  <c r="Q84" i="1"/>
  <c r="Q90" i="1" s="1"/>
  <c r="Q85" i="1"/>
  <c r="BW4" i="1"/>
  <c r="D3" i="1" s="1"/>
  <c r="D64" i="1" s="1"/>
  <c r="T107" i="1" s="1"/>
  <c r="BW5" i="1"/>
  <c r="AA86" i="1" l="1"/>
  <c r="AA91" i="1"/>
  <c r="V86" i="1"/>
  <c r="V91" i="1"/>
  <c r="Q86" i="1"/>
  <c r="Q91" i="1"/>
  <c r="AA93" i="1" l="1"/>
  <c r="AA92" i="1"/>
  <c r="V93" i="1"/>
  <c r="V92" i="1"/>
  <c r="AB96" i="1"/>
  <c r="Q93" i="1"/>
  <c r="AB97" i="1" s="1"/>
  <c r="Q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3EAACDF1-159B-4411-9CAF-A6678A7CE110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52A78FEA-7B23-4E9F-BB73-F69A38D6A1C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00804F6B-58AF-4754-975C-0DCCE01B3810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EA77618F-2C31-4E1E-8C6B-02590C9E7A40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21ECB39E-EE6C-4653-A8CC-5DF8B43762F5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2CAA8153-7D8C-4437-B6EF-E41C870FBC44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82BDBA35-959C-4D12-969B-156DFA1F005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2060D1BD-8B61-4BD3-8C84-CD57132A5829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9DF52A60-740A-4777-8843-BDE7E99D2605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30C870E9-B494-471E-B55C-32E634D0557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BEB5CABD-A05B-40B3-B772-0CD613B8AAB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05D59495-4D14-4EB4-8DA3-BE13FE3D1D0B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B115893D-82DD-4AD5-B052-6BACDC7EF877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A527E0BC-68A0-473C-B5D5-F812640257E6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A1111EDD-6212-4D41-A7AD-31938FD84B02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<sst xmlns="http://schemas.openxmlformats.org/spreadsheetml/2006/main" count="205" uniqueCount="131">
  <si>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</si>
  <si>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</si>
  <si>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ECD-0072604</t>
  </si>
  <si>
    <t>73365</t>
  </si>
  <si>
    <t>ID Informe:</t>
  </si>
  <si>
    <t>-</t>
  </si>
  <si>
    <t>Orden de ingreso:</t>
  </si>
  <si>
    <t>R-5578-1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</si>
  <si>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</si>
  <si>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</si>
  <si>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</si>
  <si>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</si>
  <si>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</si>
  <si>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</si>
  <si>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</si>
  <si>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</si>
  <si>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</si>
  <si>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</si>
  <si>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</si>
  <si>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</si>
  <si>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</si>
  <si>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</si>
  <si>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</si>
  <si>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</si>
  <si>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</si>
  <si>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</si>
  <si>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</si>
  <si>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</si>
  <si>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</si>
  <si>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</si>
  <si>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</si>
  <si>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</si>
  <si>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</si>
  <si>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</si>
  <si>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</si>
  <si>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</si>
  <si>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</si>
  <si>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</si>
  <si>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</si>
  <si>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</si>
  <si>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</si>
  <si>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</si>
  <si>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</si>
  <si>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</si>
  <si>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</si>
  <si>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</si>
  <si>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PN 48/49 -M137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</si>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</sst>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1E-4069-8555-5858EA5B7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89E4E10D-DAD6-44D3-A27F-CB3F1020C6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ACDDBA-99E2-4A32-915D-4185C9E87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9DEB54-E5D7-47B6-B6A6-B8C7C0A57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E91D2A8-56C6-4818-9638-8C44FA791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50FC-3E82-4F2D-89E1-5388EB998E1E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ID-0072604-2026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46090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46108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ID-0072604-2026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46080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24.13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PN 48/49 -M137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>
        <v>201.68</v>
      </c>
      <c r="R17" s="62"/>
      <c r="S17" s="62"/>
      <c r="T17" s="62"/>
      <c r="U17" s="62"/>
      <c r="V17" s="62">
        <v>202.44</v>
      </c>
      <c r="W17" s="62"/>
      <c r="X17" s="62"/>
      <c r="Y17" s="62"/>
      <c r="Z17" s="62"/>
      <c r="AA17" s="43">
        <v>201.68</v>
      </c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>
        <v>202.42</v>
      </c>
      <c r="R18" s="62"/>
      <c r="S18" s="62"/>
      <c r="T18" s="62"/>
      <c r="U18" s="62"/>
      <c r="V18" s="62">
        <v>201.68</v>
      </c>
      <c r="W18" s="62"/>
      <c r="X18" s="62"/>
      <c r="Y18" s="62"/>
      <c r="Z18" s="62"/>
      <c r="AA18" s="43">
        <v>202.42</v>
      </c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>
        <v>201.68</v>
      </c>
      <c r="R19" s="62"/>
      <c r="S19" s="62"/>
      <c r="T19" s="62"/>
      <c r="U19" s="62"/>
      <c r="V19" s="62">
        <v>202.32</v>
      </c>
      <c r="W19" s="62"/>
      <c r="X19" s="62"/>
      <c r="Y19" s="62"/>
      <c r="Z19" s="62"/>
      <c r="AA19" s="43">
        <v>201.56</v>
      </c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>
        <v>101.32</v>
      </c>
      <c r="R20" s="69"/>
      <c r="S20" s="69"/>
      <c r="T20" s="69"/>
      <c r="U20" s="69"/>
      <c r="V20" s="69">
        <v>102.68</v>
      </c>
      <c r="W20" s="69"/>
      <c r="X20" s="69"/>
      <c r="Y20" s="69"/>
      <c r="Z20" s="69"/>
      <c r="AA20" s="38">
        <v>101.56</v>
      </c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>
        <v>102.54</v>
      </c>
      <c r="R21" s="69"/>
      <c r="S21" s="69"/>
      <c r="T21" s="69"/>
      <c r="U21" s="69"/>
      <c r="V21" s="69">
        <v>101.32</v>
      </c>
      <c r="W21" s="69"/>
      <c r="X21" s="69"/>
      <c r="Y21" s="69"/>
      <c r="Z21" s="69"/>
      <c r="AA21" s="38">
        <v>102.74</v>
      </c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>
        <v>3567</v>
      </c>
      <c r="R22" s="62"/>
      <c r="S22" s="62"/>
      <c r="T22" s="62"/>
      <c r="U22" s="62"/>
      <c r="V22" s="62">
        <v>3567</v>
      </c>
      <c r="W22" s="62"/>
      <c r="X22" s="62"/>
      <c r="Y22" s="62"/>
      <c r="Z22" s="62"/>
      <c r="AA22" s="62">
        <v>3675</v>
      </c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>
        <v>384.5</v>
      </c>
      <c r="R25" s="43"/>
      <c r="S25" s="43"/>
      <c r="T25" s="43"/>
      <c r="U25" s="43"/>
      <c r="V25" s="43">
        <v>372.4</v>
      </c>
      <c r="W25" s="43"/>
      <c r="X25" s="43"/>
      <c r="Y25" s="43"/>
      <c r="Z25" s="43"/>
      <c r="AA25" s="43">
        <v>369.4</v>
      </c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2</v>
      </c>
      <c r="W26" s="62"/>
      <c r="X26" s="62"/>
      <c r="Y26" s="62"/>
      <c r="Z26" s="62"/>
      <c r="AA26" s="62">
        <v>2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201.68</v>
      </c>
      <c r="R34" s="69"/>
      <c r="S34" s="69"/>
      <c r="T34" s="69"/>
      <c r="U34" s="69"/>
      <c r="V34" s="69">
        <f t="shared" ref="V34:V39" si="1">+_xlfn.NUMBERVALUE(V17)</f>
        <v>202.44</v>
      </c>
      <c r="W34" s="69"/>
      <c r="X34" s="69"/>
      <c r="Y34" s="69"/>
      <c r="Z34" s="69"/>
      <c r="AA34" s="69">
        <f t="shared" ref="AA34:AA39" si="2">+_xlfn.NUMBERVALUE(AA17)</f>
        <v>201.68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202.42</v>
      </c>
      <c r="R35" s="69"/>
      <c r="S35" s="69"/>
      <c r="T35" s="69"/>
      <c r="U35" s="69"/>
      <c r="V35" s="69">
        <f t="shared" si="1"/>
        <v>201.68</v>
      </c>
      <c r="W35" s="69"/>
      <c r="X35" s="69"/>
      <c r="Y35" s="69"/>
      <c r="Z35" s="69"/>
      <c r="AA35" s="69">
        <f t="shared" si="2"/>
        <v>202.42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201.68</v>
      </c>
      <c r="R36" s="69"/>
      <c r="S36" s="69"/>
      <c r="T36" s="69"/>
      <c r="U36" s="69"/>
      <c r="V36" s="69">
        <f t="shared" si="1"/>
        <v>202.32</v>
      </c>
      <c r="W36" s="69"/>
      <c r="X36" s="69"/>
      <c r="Y36" s="69"/>
      <c r="Z36" s="69"/>
      <c r="AA36" s="69">
        <f t="shared" si="2"/>
        <v>201.56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101.32</v>
      </c>
      <c r="R37" s="69"/>
      <c r="S37" s="69"/>
      <c r="T37" s="69"/>
      <c r="U37" s="69"/>
      <c r="V37" s="69">
        <f t="shared" si="1"/>
        <v>102.68</v>
      </c>
      <c r="W37" s="69"/>
      <c r="X37" s="69"/>
      <c r="Y37" s="69"/>
      <c r="Z37" s="69"/>
      <c r="AA37" s="69">
        <f t="shared" si="2"/>
        <v>101.56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102.54</v>
      </c>
      <c r="R38" s="69"/>
      <c r="S38" s="69"/>
      <c r="T38" s="69"/>
      <c r="U38" s="69"/>
      <c r="V38" s="69">
        <f t="shared" si="1"/>
        <v>101.32</v>
      </c>
      <c r="W38" s="69"/>
      <c r="X38" s="69"/>
      <c r="Y38" s="69"/>
      <c r="Z38" s="69"/>
      <c r="AA38" s="69">
        <f t="shared" si="2"/>
        <v>102.74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3567</v>
      </c>
      <c r="R39" s="69"/>
      <c r="S39" s="69"/>
      <c r="T39" s="69"/>
      <c r="U39" s="69"/>
      <c r="V39" s="69">
        <f t="shared" si="1"/>
        <v>3567</v>
      </c>
      <c r="W39" s="69"/>
      <c r="X39" s="69"/>
      <c r="Y39" s="69"/>
      <c r="Z39" s="69"/>
      <c r="AA39" s="69">
        <f t="shared" si="2"/>
        <v>3675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384.5</v>
      </c>
      <c r="R42" s="69"/>
      <c r="S42" s="69"/>
      <c r="T42" s="69"/>
      <c r="U42" s="69"/>
      <c r="V42" s="69">
        <f>+_xlfn.NUMBERVALUE(V25)</f>
        <v>372.4</v>
      </c>
      <c r="W42" s="69"/>
      <c r="X42" s="69"/>
      <c r="Y42" s="69"/>
      <c r="Z42" s="69"/>
      <c r="AA42" s="69">
        <f>+_xlfn.NUMBERVALUE(AA25)</f>
        <v>369.4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2</v>
      </c>
      <c r="W43" s="69"/>
      <c r="X43" s="69"/>
      <c r="Y43" s="69"/>
      <c r="Z43" s="69"/>
      <c r="AA43" s="69">
        <f>+_xlfn.NUMBERVALUE(AA26)</f>
        <v>2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ID-0072604-2026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R-5578-1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46090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46108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46080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24.13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3499.76694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PN 48/49 -M137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PN 48/49 -M137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>
        <f>+IF(Q17=0,"",ROUND(AVERAGE(Q34:U36),0))</f>
        <v>202</v>
      </c>
      <c r="R81" s="118"/>
      <c r="S81" s="118"/>
      <c r="T81" s="118"/>
      <c r="U81" s="118"/>
      <c r="V81" s="118">
        <f>+IF(V17=0,"",ROUND(AVERAGE(V34:Z36),0))</f>
        <v>202</v>
      </c>
      <c r="W81" s="118"/>
      <c r="X81" s="118"/>
      <c r="Y81" s="118"/>
      <c r="Z81" s="118"/>
      <c r="AA81" s="118">
        <f>+IF(AA17=0,"",ROUND(AVERAGE(AA34:AE36),0))</f>
        <v>202</v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>
        <f>+IF(Q20=0,"",ROUND(AVERAGE(Q37:U38),2))</f>
        <v>101.93</v>
      </c>
      <c r="R82" s="138"/>
      <c r="S82" s="138"/>
      <c r="T82" s="138"/>
      <c r="U82" s="138"/>
      <c r="V82" s="138">
        <f>+IF(V20=0,"",ROUND(AVERAGE(V37:Z38),2))</f>
        <v>102</v>
      </c>
      <c r="W82" s="138"/>
      <c r="X82" s="138"/>
      <c r="Y82" s="138"/>
      <c r="Z82" s="138"/>
      <c r="AA82" s="138">
        <f>+IF(AA20=0,"",ROUND(AVERAGE(AA37:AE38),2))</f>
        <v>102.15</v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>
        <f>+IF(Q22=0,"",Q22)</f>
        <v>3567</v>
      </c>
      <c r="R83" s="118"/>
      <c r="S83" s="118"/>
      <c r="T83" s="118"/>
      <c r="U83" s="118"/>
      <c r="V83" s="118">
        <f>+IF(V22=0,"",V22)</f>
        <v>3567</v>
      </c>
      <c r="W83" s="118"/>
      <c r="X83" s="118"/>
      <c r="Y83" s="118"/>
      <c r="Z83" s="118"/>
      <c r="AA83" s="118">
        <f>+IF(AA22=0,"",AA22)</f>
        <v>3675</v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1.9817521828705973</v>
      </c>
      <c r="R84" s="117"/>
      <c r="S84" s="117"/>
      <c r="T84" s="117"/>
      <c r="U84" s="117"/>
      <c r="V84" s="117">
        <f>IF(V81="","",V81/V82)</f>
        <v>1.9803921568627452</v>
      </c>
      <c r="W84" s="117"/>
      <c r="X84" s="117"/>
      <c r="Y84" s="117"/>
      <c r="Z84" s="117"/>
      <c r="AA84" s="117">
        <f>IF(AA81="","",AA81/AA82)</f>
        <v>1.9774840920215369</v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>
        <f>IF(Q82="","",(PI()*Q82*Q82)/4)</f>
        <v>8160.0708546647384</v>
      </c>
      <c r="R85" s="138"/>
      <c r="S85" s="138"/>
      <c r="T85" s="138"/>
      <c r="U85" s="138"/>
      <c r="V85" s="138">
        <f>IF(V82="","",(PI()*V82*V82)/4)</f>
        <v>8171.2824919870518</v>
      </c>
      <c r="W85" s="138"/>
      <c r="X85" s="138"/>
      <c r="Y85" s="138"/>
      <c r="Z85" s="138"/>
      <c r="AA85" s="117">
        <f>IF(AA82="","",(PI()*AA82*AA82)/4)</f>
        <v>8195.3333472456907</v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>
        <f>IF(Q83="","",((Q83/((Q85*Q81)))*1000)*1000)</f>
        <v>2164.0027588105622</v>
      </c>
      <c r="R86" s="118"/>
      <c r="S86" s="118"/>
      <c r="T86" s="118"/>
      <c r="U86" s="118"/>
      <c r="V86" s="118">
        <f>IF(V83="","",((V83/((V85*V81)))*1000)*1000)</f>
        <v>2161.0335781317567</v>
      </c>
      <c r="W86" s="118"/>
      <c r="X86" s="118"/>
      <c r="Y86" s="118"/>
      <c r="Z86" s="118"/>
      <c r="AA86" s="118">
        <f>IF(AA83="","",((AA83/((AA85*AA81)))*1000)*1000)</f>
        <v>2219.9303598852466</v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>
        <f>IF(Q25=0,"",Q25)</f>
        <v>384.5</v>
      </c>
      <c r="R89" s="142"/>
      <c r="S89" s="142"/>
      <c r="T89" s="142"/>
      <c r="U89" s="142"/>
      <c r="V89" s="142">
        <f>IF(V25=0,"",V25)</f>
        <v>372.4</v>
      </c>
      <c r="W89" s="142"/>
      <c r="X89" s="142"/>
      <c r="Y89" s="142"/>
      <c r="Z89" s="142"/>
      <c r="AA89" s="142">
        <f>IF(AA25=0,"",AA25)</f>
        <v>369.4</v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0.99809865832144418</v>
      </c>
      <c r="R90" s="117"/>
      <c r="S90" s="117"/>
      <c r="T90" s="117"/>
      <c r="U90" s="117"/>
      <c r="V90" s="117">
        <f>IF(V84="","",(-0.1067*V84*V84*V84*V84)+(0.8*V84*V84*V84)-(2.2333*V84*V84)+(2.83*V84)-0.42)</f>
        <v>0.99798697037974371</v>
      </c>
      <c r="W90" s="117"/>
      <c r="X90" s="117"/>
      <c r="Y90" s="117"/>
      <c r="Z90" s="117"/>
      <c r="AA90" s="117">
        <f>IF(AA84="","",(-0.1067*AA84*AA84*AA84*AA84)+(0.8*AA84*AA84*AA84)-(2.2333*AA84*AA84)+(2.83*AA84)-0.42)</f>
        <v>0.99774826469258038</v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>
        <f>IF(Q89="","",(Q89*1000/Q85)*Q90)</f>
        <v>47.030098262591949</v>
      </c>
      <c r="R91" s="117"/>
      <c r="S91" s="117"/>
      <c r="T91" s="117"/>
      <c r="U91" s="117"/>
      <c r="V91" s="117">
        <f>IF(V89="","",(V89*1000/V85)*V90)</f>
        <v>45.482498999865136</v>
      </c>
      <c r="W91" s="117"/>
      <c r="X91" s="117"/>
      <c r="Y91" s="117"/>
      <c r="Z91" s="117"/>
      <c r="AA91" s="117">
        <f>IF(AA89="","",(AA89*1000/AA85)*AA90)</f>
        <v>44.972936836218942</v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>
        <f>IF(Q91="","",Q91*145.038)</f>
        <v>6821.1513918098117</v>
      </c>
      <c r="R92" s="117"/>
      <c r="S92" s="117"/>
      <c r="T92" s="117"/>
      <c r="U92" s="117"/>
      <c r="V92" s="117">
        <f>IF(V91="","",V91*145.038)</f>
        <v>6596.6906899424403</v>
      </c>
      <c r="W92" s="117"/>
      <c r="X92" s="117"/>
      <c r="Y92" s="117"/>
      <c r="Z92" s="117"/>
      <c r="AA92" s="117">
        <f>IF(AA91="","",AA91*145.038)</f>
        <v>6522.7848128515234</v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>
        <f>IF(Q91="","",(Q91/$O$73)*100)</f>
        <v>194.90301807953566</v>
      </c>
      <c r="R93" s="146"/>
      <c r="S93" s="146"/>
      <c r="T93" s="146"/>
      <c r="U93" s="146"/>
      <c r="V93" s="146">
        <f>IF(V91="","",(V91/$O$73)*100)</f>
        <v>188.48942809724468</v>
      </c>
      <c r="W93" s="146"/>
      <c r="X93" s="146"/>
      <c r="Y93" s="146"/>
      <c r="Z93" s="146"/>
      <c r="AA93" s="146">
        <f>IF(AA91="","",(AA91/$O$73)*100)</f>
        <v>186.37769099137563</v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2</v>
      </c>
      <c r="W94" s="118"/>
      <c r="X94" s="118"/>
      <c r="Y94" s="118"/>
      <c r="Z94" s="118"/>
      <c r="AA94" s="118">
        <f>IF(AA26=0,"",AA26)</f>
        <v>2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>
        <f>AVERAGE(Q91:AE91)</f>
        <v>45.828511366225342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>
        <f>AVERAGE(Q93:AE93)</f>
        <v>189.923379056052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ID-0072604-2026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2026-04-04T16:24:52Z</dcterms:created>
  <dcterms:modified xsi:type="dcterms:W3CDTF">2026-04-04T16:24:52Z</dcterms:modified>
</cp:coreProperties>
</file>