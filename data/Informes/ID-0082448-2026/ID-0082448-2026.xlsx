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48-2026\"/>
    </mc:Choice>
  </mc:AlternateContent>
  <xr:revisionPtr revIDLastSave="0" documentId="8_{C5D83963-9FB5-46FA-9468-4268FEF05E48}" xr6:coauthVersionLast="47" xr6:coauthVersionMax="47" xr10:uidLastSave="{00000000-0000-0000-0000-000000000000}"/>
  <bookViews>
    <workbookView xWindow="-108" yWindow="-108" windowWidth="23256" windowHeight="12456" xr2:uid="{B8DFDE42-AEB3-427A-86F4-65276A3BE04A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Q84" i="1"/>
  <c r="Q90" i="1" s="1"/>
  <c r="AA83" i="1"/>
  <c r="AA86" i="1" s="1"/>
  <c r="V83" i="1"/>
  <c r="V86" i="1" s="1"/>
  <c r="Q83" i="1"/>
  <c r="Q86" i="1" s="1"/>
  <c r="AA82" i="1"/>
  <c r="AA85" i="1" s="1"/>
  <c r="V82" i="1"/>
  <c r="V85" i="1" s="1"/>
  <c r="Q82" i="1"/>
  <c r="Q85" i="1" s="1"/>
  <c r="AA81" i="1"/>
  <c r="AA84" i="1" s="1"/>
  <c r="AA90" i="1" s="1"/>
  <c r="V81" i="1"/>
  <c r="V84" i="1" s="1"/>
  <c r="V90" i="1" s="1"/>
  <c r="Q81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Q34" i="1"/>
  <c r="AH26" i="1"/>
  <c r="AL14" i="1"/>
  <c r="Q14" i="1"/>
  <c r="Q77" i="1" s="1"/>
  <c r="N13" i="1"/>
  <c r="BY2" i="1"/>
  <c r="BY4" i="1" s="1"/>
  <c r="BW2" i="1"/>
  <c r="BW3" i="1" s="1"/>
  <c r="BV2" i="1"/>
  <c r="AA92" i="1" l="1"/>
  <c r="AA93" i="1"/>
  <c r="V92" i="1"/>
  <c r="V93" i="1"/>
  <c r="Q92" i="1"/>
  <c r="Q93" i="1"/>
  <c r="AB97" i="1" s="1"/>
  <c r="AB96" i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129633BA-9968-43E2-87C2-BE0B510CE2E7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E8A6147B-9447-4193-A142-F5DABC69A1D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12D13958-5643-4D3D-9E2C-0E327926EBB9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AD5055CF-8218-47CA-966F-57C86B424FB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04F3FF3F-3A9B-4FA4-BDF4-809EED8FBD3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85E65EE9-DE16-486A-9976-65D1CB540E91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2FC9A91E-778E-449A-8FA9-10BC69350850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A476AF31-7C5C-4E66-A925-4C9B2972E8C4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59F70E04-6881-4732-8415-25385BC5965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40770BDA-AC33-4964-B19E-9CE471417E91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2E7C333B-B870-467C-A2FB-9F9FCA640AA1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BAB4833E-6E8A-4AB1-9FF7-E907D2D355F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4A6E5412-182F-4A5C-BEDB-6649E92510E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E22C06E7-26B7-4529-A033-F43F37F3A3F7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130A0B95-A72C-4B52-BC9D-669A6CA10A9C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<sst xmlns="http://schemas.openxmlformats.org/spreadsheetml/2006/main" count="205" uniqueCount="131">
  <si>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</si>
  <si>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</si>
  <si>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ECD-0082448</t>
  </si>
  <si>
    <t>73365</t>
  </si>
  <si>
    <t>ID Informe:</t>
  </si>
  <si>
    <t>-</t>
  </si>
  <si>
    <t>Orden de ingreso:</t>
  </si>
  <si>
    <t>R-5581-1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</si>
  <si>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</si>
  <si>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</si>
  <si>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</si>
  <si>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</si>
  <si>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</si>
  <si>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</si>
  <si>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</si>
  <si>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</si>
  <si>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</si>
  <si>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</si>
  <si>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</si>
  <si>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</si>
  <si>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</si>
  <si>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</si>
  <si>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</si>
  <si>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</si>
  <si>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</si>
  <si>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</si>
  <si>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</si>
  <si>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</si>
  <si>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</si>
  <si>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</si>
  <si>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</si>
  <si>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</si>
  <si>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</si>
  <si>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</si>
  <si>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</si>
  <si>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</si>
  <si>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</si>
  <si>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</si>
  <si>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</si>
  <si>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</si>
  <si>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</si>
  <si>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</si>
  <si>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</si>
  <si>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</si>
  <si>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</si>
  <si>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</si>
  <si>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7 - M138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</si>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</sst>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32-40C4-AD4C-A379EF156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9E384284-CD37-476D-8D45-1291A671DB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A7D3C5-6494-407A-BD73-3D99ECF42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906770-DDFC-4820-B0F9-F5DBF16E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AEED51-EBE1-4529-93F9-1040FCCF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DE3FC-3274-464A-959E-9DB789B8E364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ID-0082448-2026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ID-0082448-2026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7 - M138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0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0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0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0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0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0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0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ID-0082448-2026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R-5581-1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7 - M138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7 - M138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 t="str">
        <f>+IF(Q17=0,"",ROUND(AVERAGE(Q34:U36),0))</f>
        <v/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 t="str">
        <f>+IF(Q20=0,"",ROUND(AVERAGE(Q37:U38),2))</f>
        <v/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 t="str">
        <f>+IF(Q22=0,"",Q22)</f>
        <v/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 t="str">
        <f>IF(Q81="","",Q81/Q82)</f>
        <v/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 t="str">
        <f>IF(Q82="","",(PI()*Q82*Q82)/4)</f>
        <v/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 t="str">
        <f>IF(Q83="","",((Q83/((Q85*Q81)))*1000)*1000)</f>
        <v/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 t="str">
        <f>IF(Q25=0,"",Q25)</f>
        <v/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 t="e">
        <f>+(-0.1067*Q84*Q84*Q84*Q84)+(0.8*Q84*Q84*Q84)-(2.2333*Q84*Q84)+(2.83*Q84)-0.42</f>
        <v>#VALUE!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 t="str">
        <f>IF(Q89="","",(Q89*1000/Q85)*Q90)</f>
        <v/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 t="str">
        <f>IF(Q91="","",Q91*145.038)</f>
        <v/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 t="str">
        <f>IF(Q91="","",(Q91/$O$73)*100)</f>
        <v/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 t="e">
        <f>AVERAGE(Q91:AE91)</f>
        <v>#DIV/0!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 t="e">
        <f>AVERAGE(Q93:AE93)</f>
        <v>#DIV/0!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ID-0082448-2026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2026-04-04T16:46:24Z</dcterms:created>
  <dcterms:modified xsi:type="dcterms:W3CDTF">2026-04-04T16:46:24Z</dcterms:modified>
</cp:coreProperties>
</file>